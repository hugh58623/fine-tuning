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liu/Desktop/Finetuning result/upload/"/>
    </mc:Choice>
  </mc:AlternateContent>
  <xr:revisionPtr revIDLastSave="0" documentId="13_ncr:1_{68160B47-CFBB-0040-9FC9-319FF6C5EB68}" xr6:coauthVersionLast="47" xr6:coauthVersionMax="47" xr10:uidLastSave="{00000000-0000-0000-0000-000000000000}"/>
  <bookViews>
    <workbookView xWindow="680" yWindow="740" windowWidth="28040" windowHeight="16740" xr2:uid="{4E469087-E4E6-7D4F-B3F4-40AC1721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O68" i="1" l="1"/>
  <c r="N68" i="1"/>
  <c r="M68" i="1"/>
  <c r="L68" i="1"/>
  <c r="K68" i="1"/>
  <c r="F68" i="1"/>
  <c r="E68" i="1"/>
  <c r="D68" i="1"/>
  <c r="C68" i="1"/>
  <c r="B68" i="1"/>
  <c r="P42" i="1"/>
  <c r="O42" i="1"/>
  <c r="N42" i="1"/>
  <c r="M42" i="1"/>
  <c r="L42" i="1"/>
  <c r="K42" i="1"/>
  <c r="F42" i="1"/>
  <c r="E42" i="1"/>
  <c r="D42" i="1"/>
  <c r="C42" i="1"/>
  <c r="B42" i="1"/>
  <c r="P41" i="1"/>
  <c r="O41" i="1"/>
  <c r="N41" i="1"/>
  <c r="M41" i="1"/>
  <c r="L41" i="1"/>
  <c r="K41" i="1"/>
  <c r="G41" i="1"/>
  <c r="F41" i="1"/>
  <c r="E41" i="1"/>
  <c r="D41" i="1"/>
  <c r="C41" i="1"/>
  <c r="B41" i="1"/>
  <c r="P40" i="1"/>
  <c r="O40" i="1"/>
  <c r="N40" i="1"/>
  <c r="M40" i="1"/>
  <c r="L40" i="1"/>
  <c r="K40" i="1"/>
  <c r="G40" i="1"/>
  <c r="F40" i="1"/>
  <c r="E40" i="1"/>
  <c r="D40" i="1"/>
  <c r="C40" i="1"/>
  <c r="B40" i="1"/>
  <c r="P39" i="1"/>
  <c r="O39" i="1"/>
  <c r="N39" i="1"/>
  <c r="M39" i="1"/>
  <c r="L39" i="1"/>
  <c r="K39" i="1"/>
  <c r="G39" i="1"/>
  <c r="F39" i="1"/>
  <c r="E39" i="1"/>
  <c r="D39" i="1"/>
  <c r="C39" i="1"/>
  <c r="B39" i="1"/>
  <c r="O30" i="1"/>
  <c r="N30" i="1"/>
  <c r="M30" i="1"/>
  <c r="L30" i="1"/>
  <c r="K30" i="1"/>
  <c r="F30" i="1"/>
  <c r="E30" i="1"/>
  <c r="D30" i="1"/>
  <c r="C30" i="1"/>
  <c r="B30" i="1"/>
  <c r="O29" i="1"/>
  <c r="N29" i="1"/>
  <c r="M29" i="1"/>
  <c r="L29" i="1"/>
  <c r="K29" i="1"/>
  <c r="F29" i="1"/>
  <c r="E29" i="1"/>
  <c r="D29" i="1"/>
  <c r="C29" i="1"/>
  <c r="B29" i="1"/>
  <c r="O28" i="1"/>
  <c r="N28" i="1"/>
  <c r="M28" i="1"/>
  <c r="L28" i="1"/>
  <c r="K28" i="1"/>
  <c r="F28" i="1"/>
  <c r="E28" i="1"/>
  <c r="D28" i="1"/>
  <c r="C28" i="1"/>
  <c r="B28" i="1"/>
  <c r="O20" i="1"/>
  <c r="N20" i="1"/>
  <c r="M20" i="1"/>
  <c r="L20" i="1"/>
  <c r="K20" i="1"/>
  <c r="F20" i="1"/>
  <c r="E20" i="1"/>
  <c r="D20" i="1"/>
  <c r="C20" i="1"/>
  <c r="B20" i="1"/>
  <c r="O19" i="1"/>
  <c r="N19" i="1"/>
  <c r="M19" i="1"/>
  <c r="L19" i="1"/>
  <c r="K19" i="1"/>
  <c r="F19" i="1"/>
  <c r="E19" i="1"/>
  <c r="D19" i="1"/>
  <c r="C19" i="1"/>
  <c r="B19" i="1"/>
  <c r="O18" i="1"/>
  <c r="N18" i="1"/>
  <c r="M18" i="1"/>
  <c r="L18" i="1"/>
  <c r="K18" i="1"/>
  <c r="F18" i="1"/>
  <c r="E18" i="1"/>
  <c r="D18" i="1"/>
  <c r="C18" i="1"/>
  <c r="B18" i="1"/>
  <c r="O10" i="1"/>
  <c r="N10" i="1"/>
  <c r="M10" i="1"/>
  <c r="L10" i="1"/>
  <c r="K10" i="1"/>
  <c r="F10" i="1"/>
  <c r="E10" i="1"/>
  <c r="D10" i="1"/>
  <c r="C10" i="1"/>
  <c r="B10" i="1"/>
  <c r="O9" i="1"/>
  <c r="N9" i="1"/>
  <c r="M9" i="1"/>
  <c r="L9" i="1"/>
  <c r="K9" i="1"/>
  <c r="F9" i="1"/>
  <c r="E9" i="1"/>
  <c r="D9" i="1"/>
  <c r="C9" i="1"/>
  <c r="B9" i="1"/>
  <c r="O8" i="1"/>
  <c r="N8" i="1"/>
  <c r="M8" i="1"/>
  <c r="L8" i="1"/>
  <c r="K8" i="1"/>
  <c r="F8" i="1"/>
  <c r="E8" i="1"/>
  <c r="D8" i="1"/>
  <c r="C8" i="1"/>
  <c r="B8" i="1"/>
  <c r="B48" i="1" l="1"/>
  <c r="C48" i="1"/>
  <c r="D48" i="1"/>
  <c r="E48" i="1"/>
  <c r="F48" i="1"/>
  <c r="G48" i="1"/>
  <c r="H48" i="1"/>
  <c r="K59" i="1"/>
  <c r="K62" i="1" s="1"/>
  <c r="K58" i="1"/>
  <c r="K48" i="1"/>
  <c r="Q59" i="1"/>
  <c r="Q62" i="1" s="1"/>
  <c r="P59" i="1"/>
  <c r="P62" i="1" s="1"/>
  <c r="O59" i="1"/>
  <c r="O62" i="1" s="1"/>
  <c r="N59" i="1"/>
  <c r="N62" i="1" s="1"/>
  <c r="M59" i="1"/>
  <c r="M62" i="1" s="1"/>
  <c r="L59" i="1"/>
  <c r="L62" i="1" s="1"/>
  <c r="Q58" i="1"/>
  <c r="P58" i="1"/>
  <c r="O58" i="1"/>
  <c r="N58" i="1"/>
  <c r="M58" i="1"/>
  <c r="L58" i="1"/>
  <c r="Q56" i="1"/>
  <c r="P56" i="1"/>
  <c r="O56" i="1"/>
  <c r="N56" i="1"/>
  <c r="M56" i="1"/>
  <c r="L56" i="1"/>
  <c r="K56" i="1"/>
  <c r="Q52" i="1"/>
  <c r="P52" i="1"/>
  <c r="O52" i="1"/>
  <c r="N52" i="1"/>
  <c r="M52" i="1"/>
  <c r="L52" i="1"/>
  <c r="K52" i="1"/>
  <c r="Q48" i="1"/>
  <c r="P48" i="1"/>
  <c r="O48" i="1"/>
  <c r="N48" i="1"/>
  <c r="M48" i="1"/>
  <c r="L48" i="1"/>
  <c r="C56" i="1"/>
  <c r="D56" i="1"/>
  <c r="E56" i="1"/>
  <c r="F56" i="1"/>
  <c r="G56" i="1"/>
  <c r="H56" i="1"/>
  <c r="B56" i="1"/>
  <c r="C52" i="1"/>
  <c r="D52" i="1"/>
  <c r="E52" i="1"/>
  <c r="F52" i="1"/>
  <c r="G52" i="1"/>
  <c r="H52" i="1"/>
  <c r="B52" i="1"/>
  <c r="C59" i="1"/>
  <c r="D59" i="1"/>
  <c r="E59" i="1"/>
  <c r="E62" i="1" s="1"/>
  <c r="F59" i="1"/>
  <c r="F62" i="1" s="1"/>
  <c r="G59" i="1"/>
  <c r="G62" i="1" s="1"/>
  <c r="H59" i="1"/>
  <c r="H62" i="1" s="1"/>
  <c r="B59" i="1"/>
  <c r="B62" i="1" s="1"/>
  <c r="C58" i="1"/>
  <c r="D58" i="1"/>
  <c r="E58" i="1"/>
  <c r="F58" i="1"/>
  <c r="G58" i="1"/>
  <c r="H58" i="1"/>
  <c r="B58" i="1"/>
  <c r="D62" i="1" l="1"/>
  <c r="C62" i="1"/>
  <c r="H60" i="1"/>
  <c r="G60" i="1"/>
  <c r="B60" i="1"/>
  <c r="F60" i="1"/>
  <c r="E60" i="1"/>
  <c r="D60" i="1"/>
  <c r="C60" i="1"/>
  <c r="P60" i="1"/>
  <c r="Q60" i="1"/>
  <c r="K60" i="1"/>
  <c r="M60" i="1"/>
  <c r="L60" i="1"/>
  <c r="O60" i="1"/>
  <c r="N60" i="1"/>
</calcChain>
</file>

<file path=xl/sharedStrings.xml><?xml version="1.0" encoding="utf-8"?>
<sst xmlns="http://schemas.openxmlformats.org/spreadsheetml/2006/main" count="184" uniqueCount="34">
  <si>
    <t>original</t>
  </si>
  <si>
    <t>nomin</t>
  </si>
  <si>
    <t>butter</t>
  </si>
  <si>
    <t>swap</t>
  </si>
  <si>
    <t>flip</t>
  </si>
  <si>
    <t>inflection</t>
  </si>
  <si>
    <t>insertion</t>
  </si>
  <si>
    <t>substitution</t>
  </si>
  <si>
    <t>tense_past</t>
  </si>
  <si>
    <t>tense_future</t>
  </si>
  <si>
    <t>character-level</t>
  </si>
  <si>
    <t>word-level</t>
  </si>
  <si>
    <t>sentence level</t>
  </si>
  <si>
    <t>backtranslation</t>
  </si>
  <si>
    <t>mix_all_level</t>
  </si>
  <si>
    <t>p0</t>
  </si>
  <si>
    <t>p10</t>
  </si>
  <si>
    <t>p30</t>
  </si>
  <si>
    <t>p50</t>
  </si>
  <si>
    <t>p70</t>
  </si>
  <si>
    <t>p90</t>
  </si>
  <si>
    <t>p100</t>
  </si>
  <si>
    <t>half2</t>
  </si>
  <si>
    <t>half1</t>
  </si>
  <si>
    <t>double size</t>
  </si>
  <si>
    <t>triple size</t>
  </si>
  <si>
    <t>pass@1</t>
  </si>
  <si>
    <t>RD</t>
  </si>
  <si>
    <t>Difference</t>
  </si>
  <si>
    <t>average nomin</t>
  </si>
  <si>
    <t>average mix</t>
  </si>
  <si>
    <t>average Difference</t>
  </si>
  <si>
    <t>HumanEval</t>
  </si>
  <si>
    <t>MBPP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</si>
</sst>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" TargetMode="External"/><Relationship Id="rId13" Type="http://schemas.openxmlformats.org/officeDocument/2006/relationships/hyperlink" Target="mailto:pass@1" TargetMode="External"/><Relationship Id="rId3" Type="http://schemas.openxmlformats.org/officeDocument/2006/relationships/hyperlink" Target="mailto:pass@1" TargetMode="External"/><Relationship Id="rId7" Type="http://schemas.openxmlformats.org/officeDocument/2006/relationships/hyperlink" Target="mailto:pass@1" TargetMode="External"/><Relationship Id="rId12" Type="http://schemas.openxmlformats.org/officeDocument/2006/relationships/hyperlink" Target="mailto:pass@1" TargetMode="External"/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1" TargetMode="External"/><Relationship Id="rId6" Type="http://schemas.openxmlformats.org/officeDocument/2006/relationships/hyperlink" Target="mailto:pass@1" TargetMode="External"/><Relationship Id="rId11" Type="http://schemas.openxmlformats.org/officeDocument/2006/relationships/hyperlink" Target="mailto:pass@1" TargetMode="External"/><Relationship Id="rId5" Type="http://schemas.openxmlformats.org/officeDocument/2006/relationships/hyperlink" Target="mailto:pass@1" TargetMode="External"/><Relationship Id="rId10" Type="http://schemas.openxmlformats.org/officeDocument/2006/relationships/hyperlink" Target="mailto:pass@1" TargetMode="External"/><Relationship Id="rId4" Type="http://schemas.openxmlformats.org/officeDocument/2006/relationships/hyperlink" Target="mailto:pass@1" TargetMode="External"/><Relationship Id="rId9" Type="http://schemas.openxmlformats.org/officeDocument/2006/relationships/hyperlink" Target="mailto:pass@1" TargetMode="External"/><Relationship Id="rId14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5DE-9DD2-6149-854F-3CF3B9A0B7CE}">
  <dimension ref="A1:Q68"/>
  <sheetViews>
    <sheetView tabSelected="1" workbookViewId="0">
      <selection sqref="A1:XFD1"/>
    </sheetView>
  </sheetViews>
  <sheetFormatPr baseColWidth="10" defaultRowHeight="16" x14ac:dyDescent="0.2"/>
  <cols>
    <col min="1" max="1" width="13.6640625" bestFit="1" customWidth="1"/>
    <col min="4" max="4" width="13.6640625" bestFit="1" customWidth="1"/>
    <col min="6" max="6" width="12.6640625" bestFit="1" customWidth="1"/>
    <col min="7" max="7" width="11.5" bestFit="1" customWidth="1"/>
    <col min="8" max="8" width="11.5" customWidth="1"/>
    <col min="10" max="10" width="13.6640625" bestFit="1" customWidth="1"/>
    <col min="13" max="13" width="13.83203125" bestFit="1" customWidth="1"/>
    <col min="14" max="14" width="10" bestFit="1" customWidth="1"/>
    <col min="15" max="15" width="12.83203125" bestFit="1" customWidth="1"/>
  </cols>
  <sheetData>
    <row r="1" spans="1:17" x14ac:dyDescent="0.2">
      <c r="A1" s="3" t="s">
        <v>32</v>
      </c>
      <c r="B1" s="3"/>
      <c r="C1" s="3"/>
      <c r="D1" s="3"/>
      <c r="E1" s="3"/>
      <c r="F1" s="3"/>
      <c r="G1" s="3"/>
      <c r="H1" s="3"/>
      <c r="J1" s="3" t="s">
        <v>33</v>
      </c>
      <c r="K1" s="3"/>
      <c r="L1" s="3"/>
      <c r="M1" s="3"/>
      <c r="N1" s="3"/>
      <c r="O1" s="3"/>
      <c r="P1" s="3"/>
      <c r="Q1" s="3"/>
    </row>
    <row r="2" spans="1:17" x14ac:dyDescent="0.2">
      <c r="A2" s="2" t="s">
        <v>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J2" s="2" t="s">
        <v>26</v>
      </c>
      <c r="K2" t="s">
        <v>0</v>
      </c>
      <c r="L2" t="s">
        <v>1</v>
      </c>
      <c r="M2" t="s">
        <v>2</v>
      </c>
      <c r="N2" t="s">
        <v>3</v>
      </c>
      <c r="O2" t="s">
        <v>4</v>
      </c>
    </row>
    <row r="3" spans="1:17" x14ac:dyDescent="0.2">
      <c r="A3" t="s">
        <v>1</v>
      </c>
      <c r="B3">
        <v>28.6</v>
      </c>
      <c r="C3">
        <v>37.9</v>
      </c>
      <c r="D3">
        <v>38</v>
      </c>
      <c r="E3">
        <v>36.5</v>
      </c>
      <c r="F3">
        <v>36.299999999999997</v>
      </c>
      <c r="J3" t="s">
        <v>1</v>
      </c>
      <c r="K3">
        <v>51.1</v>
      </c>
      <c r="L3">
        <v>41</v>
      </c>
      <c r="M3">
        <v>40.4</v>
      </c>
      <c r="N3">
        <v>44.4</v>
      </c>
      <c r="O3">
        <v>46.3</v>
      </c>
    </row>
    <row r="4" spans="1:17" x14ac:dyDescent="0.2">
      <c r="A4" t="s">
        <v>2</v>
      </c>
      <c r="B4">
        <v>3.8</v>
      </c>
      <c r="C4">
        <v>34</v>
      </c>
      <c r="D4">
        <v>37.6</v>
      </c>
      <c r="E4">
        <v>32.200000000000003</v>
      </c>
      <c r="F4">
        <v>32.9</v>
      </c>
      <c r="J4" t="s">
        <v>2</v>
      </c>
      <c r="K4">
        <v>46.7</v>
      </c>
      <c r="M4">
        <v>42.4</v>
      </c>
      <c r="N4">
        <v>40.700000000000003</v>
      </c>
      <c r="O4">
        <v>43.9</v>
      </c>
    </row>
    <row r="5" spans="1:17" x14ac:dyDescent="0.2">
      <c r="A5" t="s">
        <v>3</v>
      </c>
      <c r="B5">
        <v>3.6</v>
      </c>
      <c r="C5">
        <v>32.700000000000003</v>
      </c>
      <c r="D5">
        <v>39.1</v>
      </c>
      <c r="E5">
        <v>34.9</v>
      </c>
      <c r="F5">
        <v>32</v>
      </c>
      <c r="J5" t="s">
        <v>3</v>
      </c>
      <c r="K5">
        <v>47.1</v>
      </c>
      <c r="M5">
        <v>43</v>
      </c>
      <c r="N5">
        <v>42</v>
      </c>
      <c r="O5">
        <v>45.5</v>
      </c>
    </row>
    <row r="6" spans="1:17" x14ac:dyDescent="0.2">
      <c r="A6" t="s">
        <v>4</v>
      </c>
      <c r="B6">
        <v>3.3</v>
      </c>
      <c r="C6">
        <v>29.6</v>
      </c>
      <c r="D6">
        <v>34.200000000000003</v>
      </c>
      <c r="E6">
        <v>31.7</v>
      </c>
      <c r="F6">
        <v>32.5</v>
      </c>
      <c r="J6" t="s">
        <v>4</v>
      </c>
      <c r="K6">
        <v>44.9</v>
      </c>
      <c r="M6">
        <v>42.2</v>
      </c>
      <c r="N6">
        <v>40.799999999999997</v>
      </c>
      <c r="O6">
        <v>44.7</v>
      </c>
    </row>
    <row r="7" spans="1:17" x14ac:dyDescent="0.2">
      <c r="A7" t="s">
        <v>27</v>
      </c>
      <c r="J7" t="s">
        <v>27</v>
      </c>
    </row>
    <row r="8" spans="1:17" x14ac:dyDescent="0.2">
      <c r="A8" t="s">
        <v>2</v>
      </c>
      <c r="B8">
        <f>1-B4/B3</f>
        <v>0.86713286713286708</v>
      </c>
      <c r="C8">
        <f>1-C4/C3</f>
        <v>0.1029023746701847</v>
      </c>
      <c r="D8">
        <f>1-D4/D3</f>
        <v>1.0526315789473606E-2</v>
      </c>
      <c r="E8">
        <f>1-E4/E3</f>
        <v>0.11780821917808215</v>
      </c>
      <c r="F8">
        <f>1-F4/F3</f>
        <v>9.3663911845729975E-2</v>
      </c>
      <c r="J8" t="s">
        <v>2</v>
      </c>
      <c r="K8">
        <f>1-K4/K3</f>
        <v>8.6105675146771032E-2</v>
      </c>
      <c r="L8">
        <f>1-L4/L3</f>
        <v>1</v>
      </c>
      <c r="M8">
        <f>1-M4/M3</f>
        <v>-4.9504950495049549E-2</v>
      </c>
      <c r="N8">
        <f>1-N4/N3</f>
        <v>8.3333333333333259E-2</v>
      </c>
      <c r="O8">
        <f>1-O4/O3</f>
        <v>5.1835853131749432E-2</v>
      </c>
    </row>
    <row r="9" spans="1:17" x14ac:dyDescent="0.2">
      <c r="A9" t="s">
        <v>3</v>
      </c>
      <c r="B9">
        <f>1-B5/B3</f>
        <v>0.87412587412587417</v>
      </c>
      <c r="C9">
        <f>1-C5/C3</f>
        <v>0.13720316622691286</v>
      </c>
      <c r="D9">
        <f>1-D5/D3</f>
        <v>-2.8947368421052611E-2</v>
      </c>
      <c r="E9">
        <f>1-E5/E3</f>
        <v>4.3835616438356206E-2</v>
      </c>
      <c r="F9">
        <f>1-F5/F3</f>
        <v>0.11845730027548207</v>
      </c>
      <c r="J9" t="s">
        <v>3</v>
      </c>
      <c r="K9">
        <f>1-K5/K3</f>
        <v>7.8277886497064575E-2</v>
      </c>
      <c r="L9">
        <f>1-L5/L3</f>
        <v>1</v>
      </c>
      <c r="M9">
        <f>1-M5/M3</f>
        <v>-6.4356435643564414E-2</v>
      </c>
      <c r="N9">
        <f>1-N5/N3</f>
        <v>5.4054054054054057E-2</v>
      </c>
      <c r="O9">
        <f>1-O5/O3</f>
        <v>1.7278617710583144E-2</v>
      </c>
    </row>
    <row r="10" spans="1:17" x14ac:dyDescent="0.2">
      <c r="A10" t="s">
        <v>4</v>
      </c>
      <c r="B10">
        <f>1-B6/B3</f>
        <v>0.88461538461538458</v>
      </c>
      <c r="C10">
        <f>1-C6/C3</f>
        <v>0.21899736147757254</v>
      </c>
      <c r="D10">
        <f>1-D6/D3</f>
        <v>9.9999999999999978E-2</v>
      </c>
      <c r="E10">
        <f>1-E6/E3</f>
        <v>0.13150684931506851</v>
      </c>
      <c r="F10">
        <f>1-F6/F3</f>
        <v>0.10468319559228645</v>
      </c>
      <c r="J10" t="s">
        <v>4</v>
      </c>
      <c r="K10">
        <f>1-K6/K3</f>
        <v>0.1213307240704502</v>
      </c>
      <c r="L10">
        <f>1-L6/L3</f>
        <v>1</v>
      </c>
      <c r="M10">
        <f>1-M6/M3</f>
        <v>-4.4554455445544594E-2</v>
      </c>
      <c r="N10">
        <f>1-N6/N3</f>
        <v>8.1081081081081141E-2</v>
      </c>
      <c r="O10">
        <f>1-O6/O3</f>
        <v>3.4557235421166177E-2</v>
      </c>
    </row>
    <row r="12" spans="1:17" x14ac:dyDescent="0.2">
      <c r="A12" s="2" t="s">
        <v>26</v>
      </c>
      <c r="B12" t="s">
        <v>0</v>
      </c>
      <c r="C12" t="s">
        <v>1</v>
      </c>
      <c r="D12" t="s">
        <v>5</v>
      </c>
      <c r="E12" t="s">
        <v>6</v>
      </c>
      <c r="F12" t="s">
        <v>7</v>
      </c>
      <c r="J12" s="2" t="s">
        <v>26</v>
      </c>
      <c r="K12" t="s">
        <v>0</v>
      </c>
      <c r="L12" t="s">
        <v>1</v>
      </c>
      <c r="M12" t="s">
        <v>5</v>
      </c>
      <c r="N12" t="s">
        <v>6</v>
      </c>
      <c r="O12" t="s">
        <v>7</v>
      </c>
    </row>
    <row r="13" spans="1:17" x14ac:dyDescent="0.2">
      <c r="A13" t="s">
        <v>1</v>
      </c>
      <c r="B13">
        <v>28.6</v>
      </c>
      <c r="C13">
        <v>37.9</v>
      </c>
      <c r="D13">
        <v>40.700000000000003</v>
      </c>
      <c r="E13">
        <v>36.9</v>
      </c>
      <c r="F13">
        <v>36.799999999999997</v>
      </c>
      <c r="J13" t="s">
        <v>1</v>
      </c>
      <c r="K13">
        <v>51.1</v>
      </c>
      <c r="L13">
        <v>41</v>
      </c>
      <c r="M13">
        <v>45.3</v>
      </c>
      <c r="N13">
        <v>44.5</v>
      </c>
      <c r="O13">
        <v>41.3</v>
      </c>
    </row>
    <row r="14" spans="1:17" x14ac:dyDescent="0.2">
      <c r="A14" t="s">
        <v>5</v>
      </c>
      <c r="B14">
        <v>3.8</v>
      </c>
      <c r="C14">
        <v>31.7</v>
      </c>
      <c r="D14">
        <v>38.200000000000003</v>
      </c>
      <c r="E14">
        <v>33.1</v>
      </c>
      <c r="F14">
        <v>33.299999999999997</v>
      </c>
      <c r="J14" t="s">
        <v>5</v>
      </c>
      <c r="K14">
        <v>47.3</v>
      </c>
      <c r="L14">
        <v>36.9</v>
      </c>
      <c r="M14">
        <v>42.2</v>
      </c>
      <c r="N14">
        <v>41.3</v>
      </c>
      <c r="O14">
        <v>38.6</v>
      </c>
    </row>
    <row r="15" spans="1:17" x14ac:dyDescent="0.2">
      <c r="A15" t="s">
        <v>6</v>
      </c>
      <c r="B15">
        <v>3.5</v>
      </c>
      <c r="C15">
        <v>24.5</v>
      </c>
      <c r="D15">
        <v>25.4</v>
      </c>
      <c r="E15">
        <v>24.3</v>
      </c>
      <c r="F15">
        <v>24.9</v>
      </c>
      <c r="J15" t="s">
        <v>6</v>
      </c>
      <c r="K15">
        <v>45.6</v>
      </c>
      <c r="L15">
        <v>39.1</v>
      </c>
      <c r="M15">
        <v>42.6</v>
      </c>
      <c r="N15">
        <v>41.6</v>
      </c>
      <c r="O15">
        <v>39.1</v>
      </c>
    </row>
    <row r="16" spans="1:17" x14ac:dyDescent="0.2">
      <c r="A16" t="s">
        <v>7</v>
      </c>
      <c r="B16">
        <v>3.4</v>
      </c>
      <c r="C16">
        <v>24.7</v>
      </c>
      <c r="D16">
        <v>25.2</v>
      </c>
      <c r="E16">
        <v>24.4</v>
      </c>
      <c r="F16">
        <v>24.6</v>
      </c>
      <c r="J16" t="s">
        <v>7</v>
      </c>
      <c r="K16">
        <v>43</v>
      </c>
      <c r="L16">
        <v>35.799999999999997</v>
      </c>
      <c r="M16">
        <v>39.4</v>
      </c>
      <c r="N16">
        <v>39.5</v>
      </c>
      <c r="O16">
        <v>37.4</v>
      </c>
    </row>
    <row r="17" spans="1:16" x14ac:dyDescent="0.2">
      <c r="A17" t="s">
        <v>27</v>
      </c>
      <c r="J17" t="s">
        <v>27</v>
      </c>
    </row>
    <row r="18" spans="1:16" x14ac:dyDescent="0.2">
      <c r="A18" t="s">
        <v>5</v>
      </c>
      <c r="B18">
        <f>1-B14/B13</f>
        <v>0.86713286713286708</v>
      </c>
      <c r="C18">
        <f>1-C14/C13</f>
        <v>0.16358839050131924</v>
      </c>
      <c r="D18">
        <f>1-D14/D13</f>
        <v>6.1425061425061434E-2</v>
      </c>
      <c r="E18">
        <f>1-E14/E13</f>
        <v>0.102981029810298</v>
      </c>
      <c r="F18">
        <f>1-F14/F13</f>
        <v>9.5108695652173947E-2</v>
      </c>
      <c r="J18" t="s">
        <v>5</v>
      </c>
      <c r="K18">
        <f>1-K14/K13</f>
        <v>7.4363992172211457E-2</v>
      </c>
      <c r="L18">
        <f>1-L14/L13</f>
        <v>0.10000000000000009</v>
      </c>
      <c r="M18">
        <f>1-M14/M13</f>
        <v>6.843267108167761E-2</v>
      </c>
      <c r="N18">
        <f>1-N14/N13</f>
        <v>7.1910112359550582E-2</v>
      </c>
      <c r="O18">
        <f>1-O14/O13</f>
        <v>6.5375302663438162E-2</v>
      </c>
    </row>
    <row r="19" spans="1:16" x14ac:dyDescent="0.2">
      <c r="A19" t="s">
        <v>6</v>
      </c>
      <c r="B19">
        <f>1-B15/B13</f>
        <v>0.8776223776223776</v>
      </c>
      <c r="C19">
        <f>1-C15/C13</f>
        <v>0.35356200527704484</v>
      </c>
      <c r="D19">
        <f>1-D15/D13</f>
        <v>0.37592137592137598</v>
      </c>
      <c r="E19">
        <f>1-E15/E13</f>
        <v>0.34146341463414631</v>
      </c>
      <c r="F19">
        <f>1-F15/F13</f>
        <v>0.32336956521739124</v>
      </c>
      <c r="J19" t="s">
        <v>6</v>
      </c>
      <c r="K19">
        <f>1-K15/K13</f>
        <v>0.10763209393346385</v>
      </c>
      <c r="L19">
        <f>1-L15/L13</f>
        <v>4.6341463414634076E-2</v>
      </c>
      <c r="M19">
        <f>1-M15/M13</f>
        <v>5.9602649006622377E-2</v>
      </c>
      <c r="N19">
        <f>1-N15/N13</f>
        <v>6.5168539325842656E-2</v>
      </c>
      <c r="O19">
        <f>1-O15/O13</f>
        <v>5.3268765133171803E-2</v>
      </c>
    </row>
    <row r="20" spans="1:16" x14ac:dyDescent="0.2">
      <c r="A20" t="s">
        <v>7</v>
      </c>
      <c r="B20">
        <f>1-B16/B13</f>
        <v>0.88111888111888115</v>
      </c>
      <c r="C20">
        <f>1-C16/C13</f>
        <v>0.34828496042216361</v>
      </c>
      <c r="D20">
        <f>1-D16/D13</f>
        <v>0.38083538083538093</v>
      </c>
      <c r="E20">
        <f>1-E16/E13</f>
        <v>0.33875338753387541</v>
      </c>
      <c r="F20">
        <f>1-F16/F13</f>
        <v>0.3315217391304347</v>
      </c>
      <c r="J20" t="s">
        <v>7</v>
      </c>
      <c r="K20">
        <f>1-K16/K13</f>
        <v>0.15851272015655582</v>
      </c>
      <c r="L20">
        <f>1-L16/L13</f>
        <v>0.12682926829268304</v>
      </c>
      <c r="M20">
        <f>1-M16/M13</f>
        <v>0.13024282560706402</v>
      </c>
      <c r="N20">
        <f>1-N16/N13</f>
        <v>0.11235955056179781</v>
      </c>
      <c r="O20">
        <f>1-O16/O13</f>
        <v>9.4430992736077468E-2</v>
      </c>
    </row>
    <row r="22" spans="1:16" x14ac:dyDescent="0.2">
      <c r="A22" s="2" t="s">
        <v>26</v>
      </c>
      <c r="B22" t="s">
        <v>0</v>
      </c>
      <c r="C22" t="s">
        <v>1</v>
      </c>
      <c r="D22" t="s">
        <v>13</v>
      </c>
      <c r="E22" t="s">
        <v>8</v>
      </c>
      <c r="F22" t="s">
        <v>9</v>
      </c>
      <c r="J22" s="2" t="s">
        <v>26</v>
      </c>
      <c r="K22" t="s">
        <v>0</v>
      </c>
      <c r="L22" t="s">
        <v>1</v>
      </c>
      <c r="M22" t="s">
        <v>13</v>
      </c>
      <c r="N22" t="s">
        <v>8</v>
      </c>
      <c r="O22" t="s">
        <v>9</v>
      </c>
    </row>
    <row r="23" spans="1:16" x14ac:dyDescent="0.2">
      <c r="A23" t="s">
        <v>1</v>
      </c>
      <c r="B23">
        <v>28.6</v>
      </c>
      <c r="C23">
        <v>37.9</v>
      </c>
      <c r="D23">
        <v>35.700000000000003</v>
      </c>
      <c r="E23">
        <v>19.899999999999999</v>
      </c>
      <c r="F23">
        <v>19.3</v>
      </c>
      <c r="J23" t="s">
        <v>1</v>
      </c>
      <c r="K23">
        <v>51.1</v>
      </c>
      <c r="L23">
        <v>41</v>
      </c>
      <c r="M23">
        <v>49.8</v>
      </c>
      <c r="N23">
        <v>36.200000000000003</v>
      </c>
      <c r="O23">
        <v>33.4</v>
      </c>
    </row>
    <row r="24" spans="1:16" x14ac:dyDescent="0.2">
      <c r="A24" t="s">
        <v>13</v>
      </c>
      <c r="B24">
        <v>4.2</v>
      </c>
      <c r="C24">
        <v>34.1</v>
      </c>
      <c r="D24">
        <v>33.799999999999997</v>
      </c>
      <c r="E24">
        <v>16.899999999999999</v>
      </c>
      <c r="F24">
        <v>16.600000000000001</v>
      </c>
      <c r="J24" t="s">
        <v>13</v>
      </c>
      <c r="K24">
        <v>47.6</v>
      </c>
      <c r="L24">
        <v>39</v>
      </c>
      <c r="M24">
        <v>49.1</v>
      </c>
      <c r="N24">
        <v>32</v>
      </c>
      <c r="O24">
        <v>32.200000000000003</v>
      </c>
    </row>
    <row r="25" spans="1:16" x14ac:dyDescent="0.2">
      <c r="A25" t="s">
        <v>8</v>
      </c>
      <c r="B25">
        <v>3.3</v>
      </c>
      <c r="C25">
        <v>38.1</v>
      </c>
      <c r="D25">
        <v>34.299999999999997</v>
      </c>
      <c r="E25">
        <v>17.2</v>
      </c>
      <c r="F25">
        <v>17.7</v>
      </c>
      <c r="J25" t="s">
        <v>8</v>
      </c>
      <c r="K25">
        <v>47.3</v>
      </c>
      <c r="L25">
        <v>39.200000000000003</v>
      </c>
      <c r="M25">
        <v>49.1</v>
      </c>
      <c r="N25">
        <v>33.5</v>
      </c>
      <c r="O25">
        <v>32.6</v>
      </c>
    </row>
    <row r="26" spans="1:16" x14ac:dyDescent="0.2">
      <c r="A26" t="s">
        <v>9</v>
      </c>
      <c r="B26">
        <v>3.3</v>
      </c>
      <c r="C26">
        <v>38.1</v>
      </c>
      <c r="D26">
        <v>34.299999999999997</v>
      </c>
      <c r="E26">
        <v>17.2</v>
      </c>
      <c r="F26">
        <v>17.7</v>
      </c>
      <c r="J26" t="s">
        <v>9</v>
      </c>
      <c r="K26">
        <v>47.1</v>
      </c>
      <c r="L26">
        <v>38.9</v>
      </c>
      <c r="M26">
        <v>49</v>
      </c>
      <c r="N26">
        <v>33.4</v>
      </c>
      <c r="O26">
        <v>32.700000000000003</v>
      </c>
    </row>
    <row r="27" spans="1:16" x14ac:dyDescent="0.2">
      <c r="A27" t="s">
        <v>27</v>
      </c>
      <c r="J27" t="s">
        <v>27</v>
      </c>
    </row>
    <row r="28" spans="1:16" x14ac:dyDescent="0.2">
      <c r="A28" t="s">
        <v>13</v>
      </c>
      <c r="B28">
        <f>1-B24/B23</f>
        <v>0.85314685314685312</v>
      </c>
      <c r="C28">
        <f>1-C24/C23</f>
        <v>0.10026385224274403</v>
      </c>
      <c r="D28">
        <f>1-D24/D23</f>
        <v>5.3221288515406306E-2</v>
      </c>
      <c r="E28">
        <f>1-E24/E23</f>
        <v>0.15075376884422109</v>
      </c>
      <c r="F28">
        <f>1-F24/F23</f>
        <v>0.13989637305699476</v>
      </c>
      <c r="J28" t="s">
        <v>13</v>
      </c>
      <c r="K28">
        <f>1-K24/K23</f>
        <v>6.8493150684931559E-2</v>
      </c>
      <c r="L28">
        <f>1-L24/L23</f>
        <v>4.8780487804878092E-2</v>
      </c>
      <c r="M28">
        <f>1-M24/M23</f>
        <v>1.4056224899598346E-2</v>
      </c>
      <c r="N28">
        <f>1-N24/N23</f>
        <v>0.11602209944751385</v>
      </c>
      <c r="O28">
        <f>1-O24/O23</f>
        <v>3.5928143712574689E-2</v>
      </c>
    </row>
    <row r="29" spans="1:16" x14ac:dyDescent="0.2">
      <c r="A29" t="s">
        <v>8</v>
      </c>
      <c r="B29">
        <f>1-B25/B23</f>
        <v>0.88461538461538458</v>
      </c>
      <c r="C29">
        <f>1-C25/C23</f>
        <v>-5.2770448548813409E-3</v>
      </c>
      <c r="D29">
        <f>1-D25/D23</f>
        <v>3.9215686274509998E-2</v>
      </c>
      <c r="E29">
        <f>1-E25/E23</f>
        <v>0.13567839195979892</v>
      </c>
      <c r="F29">
        <f>1-F25/F23</f>
        <v>8.290155440414515E-2</v>
      </c>
      <c r="J29" t="s">
        <v>8</v>
      </c>
      <c r="K29">
        <f>1-K25/K23</f>
        <v>7.4363992172211457E-2</v>
      </c>
      <c r="L29">
        <f>1-L25/L23</f>
        <v>4.3902439024390172E-2</v>
      </c>
      <c r="M29">
        <f>1-M25/M23</f>
        <v>1.4056224899598346E-2</v>
      </c>
      <c r="N29">
        <f>1-N25/N23</f>
        <v>7.4585635359116109E-2</v>
      </c>
      <c r="O29">
        <f>1-O25/O23</f>
        <v>2.39520958083832E-2</v>
      </c>
    </row>
    <row r="30" spans="1:16" x14ac:dyDescent="0.2">
      <c r="A30" t="s">
        <v>9</v>
      </c>
      <c r="B30">
        <f>1-B26/B23</f>
        <v>0.88461538461538458</v>
      </c>
      <c r="C30">
        <f>1-C26/C23</f>
        <v>-5.2770448548813409E-3</v>
      </c>
      <c r="D30">
        <f>1-D26/D23</f>
        <v>3.9215686274509998E-2</v>
      </c>
      <c r="E30">
        <f>1-E26/E23</f>
        <v>0.13567839195979892</v>
      </c>
      <c r="F30">
        <f>1-F26/F23</f>
        <v>8.290155440414515E-2</v>
      </c>
      <c r="J30" t="s">
        <v>9</v>
      </c>
      <c r="K30">
        <f>1-K26/K23</f>
        <v>7.8277886497064575E-2</v>
      </c>
      <c r="L30">
        <f>1-L26/L23</f>
        <v>5.1219512195121997E-2</v>
      </c>
      <c r="M30">
        <f>1-M26/M23</f>
        <v>1.6064257028112428E-2</v>
      </c>
      <c r="N30">
        <f>1-N26/N23</f>
        <v>7.7348066298342677E-2</v>
      </c>
      <c r="O30">
        <f>1-O26/O23</f>
        <v>2.0958083832335217E-2</v>
      </c>
    </row>
    <row r="32" spans="1:16" x14ac:dyDescent="0.2">
      <c r="A32" s="2" t="s">
        <v>26</v>
      </c>
      <c r="B32" t="s">
        <v>0</v>
      </c>
      <c r="C32" t="s">
        <v>1</v>
      </c>
      <c r="D32" t="s">
        <v>10</v>
      </c>
      <c r="E32" t="s">
        <v>11</v>
      </c>
      <c r="F32" t="s">
        <v>12</v>
      </c>
      <c r="G32" t="s">
        <v>14</v>
      </c>
      <c r="J32" s="2" t="s">
        <v>26</v>
      </c>
      <c r="K32" t="s">
        <v>0</v>
      </c>
      <c r="L32" t="s">
        <v>1</v>
      </c>
      <c r="M32" t="s">
        <v>10</v>
      </c>
      <c r="N32" t="s">
        <v>11</v>
      </c>
      <c r="O32" t="s">
        <v>12</v>
      </c>
      <c r="P32" t="s">
        <v>14</v>
      </c>
    </row>
    <row r="33" spans="1:17" x14ac:dyDescent="0.2">
      <c r="A33" t="s">
        <v>1</v>
      </c>
      <c r="B33">
        <v>28.6</v>
      </c>
      <c r="C33">
        <v>37.9</v>
      </c>
      <c r="D33">
        <v>35.299999999999997</v>
      </c>
      <c r="E33">
        <v>38.700000000000003</v>
      </c>
      <c r="F33">
        <v>38.4</v>
      </c>
      <c r="G33">
        <v>37.5</v>
      </c>
      <c r="J33" t="s">
        <v>1</v>
      </c>
      <c r="K33">
        <v>51.1</v>
      </c>
      <c r="L33">
        <v>41</v>
      </c>
      <c r="M33">
        <v>40.700000000000003</v>
      </c>
      <c r="N33">
        <v>56.2</v>
      </c>
      <c r="O33">
        <v>52.2</v>
      </c>
      <c r="P33">
        <v>42.3</v>
      </c>
    </row>
    <row r="34" spans="1:17" x14ac:dyDescent="0.2">
      <c r="A34" t="s">
        <v>10</v>
      </c>
      <c r="B34">
        <v>3.3</v>
      </c>
      <c r="C34">
        <v>31.6</v>
      </c>
      <c r="D34">
        <v>33.299999999999997</v>
      </c>
      <c r="E34">
        <v>33.200000000000003</v>
      </c>
      <c r="F34">
        <v>35.6</v>
      </c>
      <c r="G34">
        <v>37.4</v>
      </c>
      <c r="J34" t="s">
        <v>10</v>
      </c>
      <c r="K34">
        <v>46.6</v>
      </c>
      <c r="L34">
        <v>37.700000000000003</v>
      </c>
      <c r="M34">
        <v>37.9</v>
      </c>
      <c r="N34">
        <v>51</v>
      </c>
      <c r="O34">
        <v>48.2</v>
      </c>
      <c r="P34">
        <v>38.299999999999997</v>
      </c>
    </row>
    <row r="35" spans="1:17" x14ac:dyDescent="0.2">
      <c r="A35" t="s">
        <v>11</v>
      </c>
      <c r="B35">
        <v>2.9</v>
      </c>
      <c r="C35">
        <v>26.9</v>
      </c>
      <c r="D35">
        <v>27.2</v>
      </c>
      <c r="E35">
        <v>29.7</v>
      </c>
      <c r="F35">
        <v>29</v>
      </c>
      <c r="G35">
        <v>29.1</v>
      </c>
      <c r="J35" t="s">
        <v>11</v>
      </c>
      <c r="K35">
        <v>45.5</v>
      </c>
      <c r="L35">
        <v>36.4</v>
      </c>
      <c r="M35">
        <v>37.9</v>
      </c>
      <c r="N35">
        <v>50.3</v>
      </c>
      <c r="O35">
        <v>46.7</v>
      </c>
      <c r="P35">
        <v>39.299999999999997</v>
      </c>
    </row>
    <row r="36" spans="1:17" x14ac:dyDescent="0.2">
      <c r="A36" t="s">
        <v>12</v>
      </c>
      <c r="B36">
        <v>3.2</v>
      </c>
      <c r="C36">
        <v>36.799999999999997</v>
      </c>
      <c r="D36">
        <v>35.1</v>
      </c>
      <c r="E36">
        <v>37.799999999999997</v>
      </c>
      <c r="F36">
        <v>37.6</v>
      </c>
      <c r="G36">
        <v>35.1</v>
      </c>
      <c r="J36" t="s">
        <v>12</v>
      </c>
      <c r="K36">
        <v>47.1</v>
      </c>
      <c r="L36">
        <v>38.9</v>
      </c>
      <c r="M36">
        <v>39.4</v>
      </c>
      <c r="N36">
        <v>53.7</v>
      </c>
      <c r="P36">
        <v>40.5</v>
      </c>
    </row>
    <row r="37" spans="1:17" x14ac:dyDescent="0.2">
      <c r="A37" t="s">
        <v>14</v>
      </c>
      <c r="B37">
        <v>3.1</v>
      </c>
      <c r="C37">
        <v>31.3</v>
      </c>
      <c r="D37">
        <v>32.299999999999997</v>
      </c>
      <c r="E37">
        <v>33.799999999999997</v>
      </c>
      <c r="F37">
        <v>33.700000000000003</v>
      </c>
      <c r="G37">
        <v>33</v>
      </c>
      <c r="J37" t="s">
        <v>14</v>
      </c>
      <c r="K37">
        <v>46.5</v>
      </c>
      <c r="L37">
        <v>37.299999999999997</v>
      </c>
      <c r="M37">
        <v>38.9</v>
      </c>
      <c r="N37">
        <v>51.3</v>
      </c>
      <c r="O37">
        <v>47.2</v>
      </c>
      <c r="P37">
        <v>39.700000000000003</v>
      </c>
    </row>
    <row r="38" spans="1:17" x14ac:dyDescent="0.2">
      <c r="A38" t="s">
        <v>27</v>
      </c>
      <c r="J38" t="s">
        <v>27</v>
      </c>
    </row>
    <row r="39" spans="1:17" x14ac:dyDescent="0.2">
      <c r="A39" t="s">
        <v>10</v>
      </c>
      <c r="B39">
        <f t="shared" ref="B39:G39" si="0">1-B34/B33</f>
        <v>0.88461538461538458</v>
      </c>
      <c r="C39">
        <f t="shared" si="0"/>
        <v>0.1662269129287598</v>
      </c>
      <c r="D39">
        <f t="shared" si="0"/>
        <v>5.6657223796033995E-2</v>
      </c>
      <c r="E39">
        <f t="shared" si="0"/>
        <v>0.1421188630490956</v>
      </c>
      <c r="F39">
        <f t="shared" si="0"/>
        <v>7.291666666666663E-2</v>
      </c>
      <c r="G39">
        <f t="shared" si="0"/>
        <v>2.666666666666706E-3</v>
      </c>
      <c r="J39" t="s">
        <v>10</v>
      </c>
      <c r="K39">
        <f t="shared" ref="K39:P39" si="1">1-K34/K33</f>
        <v>8.8062622309197702E-2</v>
      </c>
      <c r="L39">
        <f t="shared" si="1"/>
        <v>8.0487804878048741E-2</v>
      </c>
      <c r="M39">
        <f t="shared" si="1"/>
        <v>6.8796068796068921E-2</v>
      </c>
      <c r="N39">
        <f t="shared" si="1"/>
        <v>9.252669039145911E-2</v>
      </c>
      <c r="O39">
        <f t="shared" si="1"/>
        <v>7.6628352490421436E-2</v>
      </c>
      <c r="P39">
        <f t="shared" si="1"/>
        <v>9.4562647754137141E-2</v>
      </c>
    </row>
    <row r="40" spans="1:17" x14ac:dyDescent="0.2">
      <c r="A40" t="s">
        <v>11</v>
      </c>
      <c r="B40">
        <f t="shared" ref="B40:G40" si="2">1-B35/B33</f>
        <v>0.89860139860139865</v>
      </c>
      <c r="C40">
        <f t="shared" si="2"/>
        <v>0.29023746701846964</v>
      </c>
      <c r="D40">
        <f t="shared" si="2"/>
        <v>0.22946175637393762</v>
      </c>
      <c r="E40">
        <f t="shared" si="2"/>
        <v>0.2325581395348838</v>
      </c>
      <c r="F40">
        <f t="shared" si="2"/>
        <v>0.24479166666666663</v>
      </c>
      <c r="G40">
        <f t="shared" si="2"/>
        <v>0.22399999999999998</v>
      </c>
      <c r="J40" t="s">
        <v>11</v>
      </c>
      <c r="K40">
        <f t="shared" ref="K40:P40" si="3">1-K35/K33</f>
        <v>0.1095890410958904</v>
      </c>
      <c r="L40">
        <f t="shared" si="3"/>
        <v>0.1121951219512195</v>
      </c>
      <c r="M40">
        <f t="shared" si="3"/>
        <v>6.8796068796068921E-2</v>
      </c>
      <c r="N40">
        <f t="shared" si="3"/>
        <v>0.104982206405694</v>
      </c>
      <c r="O40">
        <f t="shared" si="3"/>
        <v>0.1053639846743295</v>
      </c>
      <c r="P40">
        <f t="shared" si="3"/>
        <v>7.0921985815602828E-2</v>
      </c>
    </row>
    <row r="41" spans="1:17" x14ac:dyDescent="0.2">
      <c r="A41" t="s">
        <v>12</v>
      </c>
      <c r="B41">
        <f t="shared" ref="B41:G41" si="4">1-B36/B33</f>
        <v>0.88811188811188813</v>
      </c>
      <c r="C41">
        <f t="shared" si="4"/>
        <v>2.9023746701847042E-2</v>
      </c>
      <c r="D41">
        <f t="shared" si="4"/>
        <v>5.6657223796032774E-3</v>
      </c>
      <c r="E41">
        <f t="shared" si="4"/>
        <v>2.3255813953488524E-2</v>
      </c>
      <c r="F41">
        <f t="shared" si="4"/>
        <v>2.0833333333333259E-2</v>
      </c>
      <c r="G41">
        <f t="shared" si="4"/>
        <v>6.3999999999999946E-2</v>
      </c>
      <c r="J41" t="s">
        <v>12</v>
      </c>
      <c r="K41">
        <f t="shared" ref="K41:P41" si="5">1-K36/K33</f>
        <v>7.8277886497064575E-2</v>
      </c>
      <c r="L41">
        <f t="shared" si="5"/>
        <v>5.1219512195121997E-2</v>
      </c>
      <c r="M41">
        <f t="shared" si="5"/>
        <v>3.1941031941032039E-2</v>
      </c>
      <c r="N41">
        <f t="shared" si="5"/>
        <v>4.4483985765124578E-2</v>
      </c>
      <c r="O41">
        <f t="shared" si="5"/>
        <v>1</v>
      </c>
      <c r="P41">
        <f t="shared" si="5"/>
        <v>4.2553191489361653E-2</v>
      </c>
    </row>
    <row r="42" spans="1:17" x14ac:dyDescent="0.2">
      <c r="A42" t="s">
        <v>14</v>
      </c>
      <c r="B42">
        <f t="shared" ref="B42:G42" si="6">1-B37/B33</f>
        <v>0.89160839160839167</v>
      </c>
      <c r="C42">
        <f t="shared" si="6"/>
        <v>0.1741424802110817</v>
      </c>
      <c r="D42">
        <f t="shared" si="6"/>
        <v>8.4985835694051048E-2</v>
      </c>
      <c r="E42">
        <f t="shared" si="6"/>
        <v>0.12661498708010355</v>
      </c>
      <c r="F42">
        <f t="shared" si="6"/>
        <v>0.12239583333333326</v>
      </c>
      <c r="G42">
        <f t="shared" si="6"/>
        <v>0.12</v>
      </c>
      <c r="J42" t="s">
        <v>14</v>
      </c>
      <c r="K42">
        <f t="shared" ref="K42:P42" si="7">1-K37/K33</f>
        <v>9.0019569471624261E-2</v>
      </c>
      <c r="L42">
        <f t="shared" si="7"/>
        <v>9.024390243902447E-2</v>
      </c>
      <c r="M42">
        <f t="shared" si="7"/>
        <v>4.422604422604437E-2</v>
      </c>
      <c r="N42">
        <f t="shared" si="7"/>
        <v>8.7188612099644236E-2</v>
      </c>
      <c r="O42">
        <f t="shared" si="7"/>
        <v>9.5785440613026851E-2</v>
      </c>
      <c r="P42">
        <f t="shared" si="7"/>
        <v>6.1465721040188992E-2</v>
      </c>
    </row>
    <row r="45" spans="1:17" x14ac:dyDescent="0.2">
      <c r="A45" s="2" t="s">
        <v>26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J45" s="2" t="s">
        <v>26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 t="s">
        <v>21</v>
      </c>
    </row>
    <row r="46" spans="1:17" x14ac:dyDescent="0.2">
      <c r="A46" t="s">
        <v>1</v>
      </c>
      <c r="B46">
        <v>37.9</v>
      </c>
      <c r="C46">
        <v>37.1</v>
      </c>
      <c r="D46">
        <v>38.799999999999997</v>
      </c>
      <c r="E46">
        <v>36.6</v>
      </c>
      <c r="F46">
        <v>34.6</v>
      </c>
      <c r="G46">
        <v>36.299999999999997</v>
      </c>
      <c r="H46">
        <v>37.5</v>
      </c>
      <c r="J46" t="s">
        <v>1</v>
      </c>
      <c r="K46">
        <v>41</v>
      </c>
      <c r="L46">
        <v>45.2</v>
      </c>
      <c r="M46">
        <v>45.5</v>
      </c>
      <c r="N46">
        <v>41.3</v>
      </c>
      <c r="O46">
        <v>41</v>
      </c>
      <c r="P46">
        <v>45.6</v>
      </c>
      <c r="Q46">
        <v>42.3</v>
      </c>
    </row>
    <row r="47" spans="1:17" x14ac:dyDescent="0.2">
      <c r="A47" t="s">
        <v>14</v>
      </c>
      <c r="B47">
        <v>31.3</v>
      </c>
      <c r="C47">
        <v>31.5</v>
      </c>
      <c r="D47">
        <v>30.8</v>
      </c>
      <c r="E47">
        <v>31.8</v>
      </c>
      <c r="F47">
        <v>31</v>
      </c>
      <c r="G47">
        <v>31.9</v>
      </c>
      <c r="H47">
        <v>33</v>
      </c>
      <c r="J47" t="s">
        <v>14</v>
      </c>
      <c r="K47">
        <v>37.299999999999997</v>
      </c>
      <c r="L47">
        <v>41.7</v>
      </c>
      <c r="M47">
        <v>43.6</v>
      </c>
      <c r="O47">
        <v>37.299999999999997</v>
      </c>
      <c r="P47">
        <v>42.9</v>
      </c>
      <c r="Q47">
        <v>39.700000000000003</v>
      </c>
    </row>
    <row r="48" spans="1:17" x14ac:dyDescent="0.2">
      <c r="A48" t="s">
        <v>28</v>
      </c>
      <c r="B48">
        <f>B46-B47</f>
        <v>6.5999999999999979</v>
      </c>
      <c r="C48">
        <f t="shared" ref="C48:H48" si="8">C46-C47</f>
        <v>5.6000000000000014</v>
      </c>
      <c r="D48">
        <f t="shared" si="8"/>
        <v>7.9999999999999964</v>
      </c>
      <c r="E48">
        <f t="shared" si="8"/>
        <v>4.8000000000000007</v>
      </c>
      <c r="F48">
        <f t="shared" si="8"/>
        <v>3.6000000000000014</v>
      </c>
      <c r="G48">
        <f t="shared" si="8"/>
        <v>4.3999999999999986</v>
      </c>
      <c r="H48">
        <f t="shared" si="8"/>
        <v>4.5</v>
      </c>
      <c r="J48" t="s">
        <v>28</v>
      </c>
      <c r="K48">
        <f t="shared" ref="K48:Q48" si="9">K46-K47</f>
        <v>3.7000000000000028</v>
      </c>
      <c r="L48">
        <f t="shared" si="9"/>
        <v>3.5</v>
      </c>
      <c r="M48">
        <f t="shared" si="9"/>
        <v>1.8999999999999986</v>
      </c>
      <c r="N48">
        <f t="shared" si="9"/>
        <v>41.3</v>
      </c>
      <c r="O48">
        <f t="shared" si="9"/>
        <v>3.7000000000000028</v>
      </c>
      <c r="P48">
        <f t="shared" si="9"/>
        <v>2.7000000000000028</v>
      </c>
      <c r="Q48">
        <f t="shared" si="9"/>
        <v>2.5999999999999943</v>
      </c>
    </row>
    <row r="50" spans="1:17" x14ac:dyDescent="0.2">
      <c r="A50" t="s">
        <v>1</v>
      </c>
      <c r="B50">
        <v>37.9</v>
      </c>
      <c r="C50">
        <v>33</v>
      </c>
      <c r="D50">
        <v>35.6</v>
      </c>
      <c r="E50">
        <v>33.6</v>
      </c>
      <c r="F50">
        <v>37.9</v>
      </c>
      <c r="G50">
        <v>35.700000000000003</v>
      </c>
      <c r="H50">
        <v>37.5</v>
      </c>
      <c r="J50" t="s">
        <v>1</v>
      </c>
      <c r="K50">
        <v>41</v>
      </c>
      <c r="L50">
        <v>37.200000000000003</v>
      </c>
      <c r="M50">
        <v>42.2</v>
      </c>
      <c r="N50">
        <v>48.9</v>
      </c>
      <c r="O50">
        <v>36.6</v>
      </c>
      <c r="P50">
        <v>51.6</v>
      </c>
      <c r="Q50">
        <v>42.3</v>
      </c>
    </row>
    <row r="51" spans="1:17" x14ac:dyDescent="0.2">
      <c r="A51" t="s">
        <v>14</v>
      </c>
      <c r="B51">
        <v>31.3</v>
      </c>
      <c r="C51">
        <v>29.5</v>
      </c>
      <c r="D51">
        <v>32.200000000000003</v>
      </c>
      <c r="E51">
        <v>30.2</v>
      </c>
      <c r="F51">
        <v>34.9</v>
      </c>
      <c r="G51">
        <v>30.8</v>
      </c>
      <c r="H51">
        <v>33</v>
      </c>
      <c r="J51" t="s">
        <v>14</v>
      </c>
      <c r="K51">
        <v>37.299999999999997</v>
      </c>
      <c r="L51">
        <v>33.700000000000003</v>
      </c>
      <c r="M51">
        <v>38.9</v>
      </c>
      <c r="N51">
        <v>46.1</v>
      </c>
      <c r="O51">
        <v>34.9</v>
      </c>
      <c r="P51">
        <v>47.8</v>
      </c>
      <c r="Q51">
        <v>39.700000000000003</v>
      </c>
    </row>
    <row r="52" spans="1:17" x14ac:dyDescent="0.2">
      <c r="A52" t="s">
        <v>28</v>
      </c>
      <c r="B52">
        <f>B50-B51</f>
        <v>6.5999999999999979</v>
      </c>
      <c r="C52">
        <f t="shared" ref="C52:H52" si="10">C50-C51</f>
        <v>3.5</v>
      </c>
      <c r="D52">
        <f t="shared" si="10"/>
        <v>3.3999999999999986</v>
      </c>
      <c r="E52">
        <f t="shared" si="10"/>
        <v>3.4000000000000021</v>
      </c>
      <c r="F52">
        <f t="shared" si="10"/>
        <v>3</v>
      </c>
      <c r="G52">
        <f t="shared" si="10"/>
        <v>4.9000000000000021</v>
      </c>
      <c r="H52">
        <f t="shared" si="10"/>
        <v>4.5</v>
      </c>
      <c r="J52" t="s">
        <v>28</v>
      </c>
      <c r="K52">
        <f t="shared" ref="K52:Q52" si="11">K50-K51</f>
        <v>3.7000000000000028</v>
      </c>
      <c r="L52">
        <f t="shared" si="11"/>
        <v>3.5</v>
      </c>
      <c r="M52">
        <f t="shared" si="11"/>
        <v>3.3000000000000043</v>
      </c>
      <c r="N52">
        <f t="shared" si="11"/>
        <v>2.7999999999999972</v>
      </c>
      <c r="O52">
        <f t="shared" si="11"/>
        <v>1.7000000000000028</v>
      </c>
      <c r="P52">
        <f t="shared" si="11"/>
        <v>3.8000000000000043</v>
      </c>
      <c r="Q52">
        <f t="shared" si="11"/>
        <v>2.5999999999999943</v>
      </c>
    </row>
    <row r="54" spans="1:17" x14ac:dyDescent="0.2">
      <c r="A54" t="s">
        <v>1</v>
      </c>
      <c r="B54">
        <v>37.9</v>
      </c>
      <c r="C54">
        <v>36.299999999999997</v>
      </c>
      <c r="D54">
        <v>37.299999999999997</v>
      </c>
      <c r="E54">
        <v>38.799999999999997</v>
      </c>
      <c r="F54">
        <v>39.5</v>
      </c>
      <c r="G54">
        <v>36.5</v>
      </c>
      <c r="H54">
        <v>37.5</v>
      </c>
      <c r="J54" t="s">
        <v>1</v>
      </c>
      <c r="K54">
        <v>41</v>
      </c>
      <c r="L54">
        <v>48</v>
      </c>
      <c r="M54">
        <v>50</v>
      </c>
      <c r="N54">
        <v>49.1</v>
      </c>
      <c r="O54">
        <v>48.9</v>
      </c>
      <c r="P54">
        <v>40.4</v>
      </c>
      <c r="Q54">
        <v>42.3</v>
      </c>
    </row>
    <row r="55" spans="1:17" x14ac:dyDescent="0.2">
      <c r="A55" t="s">
        <v>14</v>
      </c>
      <c r="B55">
        <v>31.3</v>
      </c>
      <c r="C55">
        <v>29.4</v>
      </c>
      <c r="D55">
        <v>31.8</v>
      </c>
      <c r="E55">
        <v>33.6</v>
      </c>
      <c r="F55">
        <v>32</v>
      </c>
      <c r="G55">
        <v>32.200000000000003</v>
      </c>
      <c r="H55">
        <v>33</v>
      </c>
      <c r="J55" t="s">
        <v>14</v>
      </c>
      <c r="K55">
        <v>37.299999999999997</v>
      </c>
      <c r="L55">
        <v>45</v>
      </c>
      <c r="M55">
        <v>46.5</v>
      </c>
      <c r="N55">
        <v>46.1</v>
      </c>
      <c r="O55">
        <v>46.7</v>
      </c>
      <c r="P55">
        <v>37.6</v>
      </c>
      <c r="Q55">
        <v>39.700000000000003</v>
      </c>
    </row>
    <row r="56" spans="1:17" x14ac:dyDescent="0.2">
      <c r="B56">
        <f>B54-B55</f>
        <v>6.5999999999999979</v>
      </c>
      <c r="C56">
        <f t="shared" ref="C56:H56" si="12">C54-C55</f>
        <v>6.8999999999999986</v>
      </c>
      <c r="D56">
        <f t="shared" si="12"/>
        <v>5.4999999999999964</v>
      </c>
      <c r="E56">
        <f t="shared" si="12"/>
        <v>5.1999999999999957</v>
      </c>
      <c r="F56">
        <f t="shared" si="12"/>
        <v>7.5</v>
      </c>
      <c r="G56">
        <f t="shared" si="12"/>
        <v>4.2999999999999972</v>
      </c>
      <c r="H56">
        <f t="shared" si="12"/>
        <v>4.5</v>
      </c>
      <c r="K56">
        <f t="shared" ref="K56:Q56" si="13">K54-K55</f>
        <v>3.7000000000000028</v>
      </c>
      <c r="L56">
        <f t="shared" si="13"/>
        <v>3</v>
      </c>
      <c r="M56">
        <f t="shared" si="13"/>
        <v>3.5</v>
      </c>
      <c r="N56">
        <f t="shared" si="13"/>
        <v>3</v>
      </c>
      <c r="O56">
        <f t="shared" si="13"/>
        <v>2.1999999999999957</v>
      </c>
      <c r="P56">
        <f t="shared" si="13"/>
        <v>2.7999999999999972</v>
      </c>
      <c r="Q56">
        <f t="shared" si="13"/>
        <v>2.5999999999999943</v>
      </c>
    </row>
    <row r="57" spans="1:17" x14ac:dyDescent="0.2">
      <c r="A57" s="2" t="s">
        <v>26</v>
      </c>
      <c r="J57" s="2" t="s">
        <v>26</v>
      </c>
    </row>
    <row r="58" spans="1:17" x14ac:dyDescent="0.2">
      <c r="A58" t="s">
        <v>29</v>
      </c>
      <c r="B58" s="1">
        <f>AVERAGE(B46,B50,B54)</f>
        <v>37.9</v>
      </c>
      <c r="C58" s="1">
        <f t="shared" ref="C58:H58" si="14">AVERAGE(C46,C50,C54)</f>
        <v>35.466666666666661</v>
      </c>
      <c r="D58" s="1">
        <f t="shared" si="14"/>
        <v>37.233333333333334</v>
      </c>
      <c r="E58" s="1">
        <f t="shared" si="14"/>
        <v>36.333333333333336</v>
      </c>
      <c r="F58" s="1">
        <f t="shared" si="14"/>
        <v>37.333333333333336</v>
      </c>
      <c r="G58" s="1">
        <f t="shared" si="14"/>
        <v>36.166666666666664</v>
      </c>
      <c r="H58" s="1">
        <f t="shared" si="14"/>
        <v>37.5</v>
      </c>
      <c r="J58" t="s">
        <v>29</v>
      </c>
      <c r="K58" s="1">
        <f>AVERAGE(K46,K50,K54)</f>
        <v>41</v>
      </c>
      <c r="L58" s="1">
        <f t="shared" ref="L58:Q58" si="15">AVERAGE(L46,L50,L54)</f>
        <v>43.466666666666669</v>
      </c>
      <c r="M58" s="1">
        <f t="shared" si="15"/>
        <v>45.9</v>
      </c>
      <c r="N58" s="1">
        <f t="shared" si="15"/>
        <v>46.43333333333333</v>
      </c>
      <c r="O58" s="1">
        <f t="shared" si="15"/>
        <v>42.166666666666664</v>
      </c>
      <c r="P58" s="1">
        <f t="shared" si="15"/>
        <v>45.866666666666667</v>
      </c>
      <c r="Q58" s="1">
        <f t="shared" si="15"/>
        <v>42.3</v>
      </c>
    </row>
    <row r="59" spans="1:17" x14ac:dyDescent="0.2">
      <c r="A59" t="s">
        <v>30</v>
      </c>
      <c r="B59" s="1">
        <f>AVERAGE(B47,B51,B55)</f>
        <v>31.3</v>
      </c>
      <c r="C59" s="1">
        <f t="shared" ref="C59:H59" si="16">AVERAGE(C47,C51,C55)</f>
        <v>30.133333333333336</v>
      </c>
      <c r="D59" s="1">
        <f t="shared" si="16"/>
        <v>31.599999999999998</v>
      </c>
      <c r="E59" s="1">
        <f t="shared" si="16"/>
        <v>31.866666666666664</v>
      </c>
      <c r="F59" s="1">
        <f t="shared" si="16"/>
        <v>32.633333333333333</v>
      </c>
      <c r="G59" s="1">
        <f t="shared" si="16"/>
        <v>31.633333333333336</v>
      </c>
      <c r="H59" s="1">
        <f t="shared" si="16"/>
        <v>33</v>
      </c>
      <c r="J59" t="s">
        <v>30</v>
      </c>
      <c r="K59" s="1">
        <f>AVERAGE(K47,K51,K55)</f>
        <v>37.299999999999997</v>
      </c>
      <c r="L59" s="1">
        <f t="shared" ref="L59:Q59" si="17">AVERAGE(L47,L51,L55)</f>
        <v>40.133333333333333</v>
      </c>
      <c r="M59" s="1">
        <f t="shared" si="17"/>
        <v>43</v>
      </c>
      <c r="N59" s="1">
        <f t="shared" si="17"/>
        <v>46.1</v>
      </c>
      <c r="O59" s="1">
        <f t="shared" si="17"/>
        <v>39.633333333333333</v>
      </c>
      <c r="P59" s="1">
        <f t="shared" si="17"/>
        <v>42.766666666666659</v>
      </c>
      <c r="Q59" s="1">
        <f t="shared" si="17"/>
        <v>39.700000000000003</v>
      </c>
    </row>
    <row r="60" spans="1:17" x14ac:dyDescent="0.2">
      <c r="A60" t="s">
        <v>31</v>
      </c>
      <c r="B60" s="1">
        <f>B58-B59</f>
        <v>6.5999999999999979</v>
      </c>
      <c r="C60" s="1">
        <f t="shared" ref="C60:H60" si="18">C58-C59</f>
        <v>5.333333333333325</v>
      </c>
      <c r="D60" s="1">
        <f t="shared" si="18"/>
        <v>5.6333333333333364</v>
      </c>
      <c r="E60" s="1">
        <f t="shared" si="18"/>
        <v>4.4666666666666721</v>
      </c>
      <c r="F60" s="1">
        <f t="shared" si="18"/>
        <v>4.7000000000000028</v>
      </c>
      <c r="G60" s="1">
        <f t="shared" si="18"/>
        <v>4.5333333333333279</v>
      </c>
      <c r="H60" s="1">
        <f t="shared" si="18"/>
        <v>4.5</v>
      </c>
      <c r="J60" t="s">
        <v>31</v>
      </c>
      <c r="K60" s="1">
        <f t="shared" ref="K60:Q60" si="19">K58-K59</f>
        <v>3.7000000000000028</v>
      </c>
      <c r="L60" s="1">
        <f t="shared" si="19"/>
        <v>3.3333333333333357</v>
      </c>
      <c r="M60" s="1">
        <f t="shared" si="19"/>
        <v>2.8999999999999986</v>
      </c>
      <c r="N60" s="1">
        <f t="shared" si="19"/>
        <v>0.3333333333333286</v>
      </c>
      <c r="O60" s="1">
        <f t="shared" si="19"/>
        <v>2.5333333333333314</v>
      </c>
      <c r="P60" s="1">
        <f t="shared" si="19"/>
        <v>3.1000000000000085</v>
      </c>
      <c r="Q60" s="1">
        <f t="shared" si="19"/>
        <v>2.5999999999999943</v>
      </c>
    </row>
    <row r="61" spans="1:17" x14ac:dyDescent="0.2">
      <c r="A61" t="s">
        <v>27</v>
      </c>
      <c r="B61" s="1"/>
      <c r="C61" s="1"/>
      <c r="D61" s="1"/>
      <c r="E61" s="1"/>
      <c r="F61" s="1"/>
      <c r="G61" s="1"/>
      <c r="H61" s="1"/>
      <c r="J61" t="s">
        <v>27</v>
      </c>
      <c r="K61" s="1"/>
      <c r="L61" s="1"/>
      <c r="M61" s="1"/>
      <c r="N61" s="1"/>
      <c r="O61" s="1"/>
      <c r="P61" s="1"/>
      <c r="Q61" s="1"/>
    </row>
    <row r="62" spans="1:17" x14ac:dyDescent="0.2">
      <c r="A62" t="s">
        <v>14</v>
      </c>
      <c r="B62">
        <f>1-B59/B58</f>
        <v>0.1741424802110817</v>
      </c>
      <c r="C62">
        <f t="shared" ref="C62:Q62" si="20">1-C59/C58</f>
        <v>0.15037593984962383</v>
      </c>
      <c r="D62">
        <f t="shared" si="20"/>
        <v>0.15129811996418985</v>
      </c>
      <c r="E62">
        <f t="shared" si="20"/>
        <v>0.12293577981651393</v>
      </c>
      <c r="F62">
        <f t="shared" si="20"/>
        <v>0.12589285714285725</v>
      </c>
      <c r="G62">
        <f t="shared" si="20"/>
        <v>0.12534562211981548</v>
      </c>
      <c r="H62">
        <f t="shared" si="20"/>
        <v>0.12</v>
      </c>
      <c r="J62" t="s">
        <v>14</v>
      </c>
      <c r="K62">
        <f t="shared" si="20"/>
        <v>9.024390243902447E-2</v>
      </c>
      <c r="L62">
        <f t="shared" si="20"/>
        <v>7.6687116564417179E-2</v>
      </c>
      <c r="M62">
        <f t="shared" si="20"/>
        <v>6.31808278867102E-2</v>
      </c>
      <c r="N62">
        <f t="shared" si="20"/>
        <v>7.1787508973437664E-3</v>
      </c>
      <c r="O62">
        <f t="shared" si="20"/>
        <v>6.0079051383399196E-2</v>
      </c>
      <c r="P62">
        <f t="shared" si="20"/>
        <v>6.7587209302325757E-2</v>
      </c>
      <c r="Q62">
        <f t="shared" si="20"/>
        <v>6.1465721040188992E-2</v>
      </c>
    </row>
    <row r="64" spans="1:17" x14ac:dyDescent="0.2">
      <c r="A64" s="2" t="s">
        <v>26</v>
      </c>
      <c r="B64" t="s">
        <v>22</v>
      </c>
      <c r="C64" t="s">
        <v>23</v>
      </c>
      <c r="D64" t="s">
        <v>1</v>
      </c>
      <c r="E64" t="s">
        <v>24</v>
      </c>
      <c r="F64" t="s">
        <v>25</v>
      </c>
      <c r="J64" s="2" t="s">
        <v>26</v>
      </c>
      <c r="K64" t="s">
        <v>22</v>
      </c>
      <c r="L64" t="s">
        <v>23</v>
      </c>
      <c r="M64" t="s">
        <v>1</v>
      </c>
      <c r="N64" t="s">
        <v>24</v>
      </c>
      <c r="O64" t="s">
        <v>25</v>
      </c>
    </row>
    <row r="65" spans="1:15" x14ac:dyDescent="0.2">
      <c r="A65" t="s">
        <v>1</v>
      </c>
      <c r="B65">
        <v>37.299999999999997</v>
      </c>
      <c r="C65">
        <v>35.4</v>
      </c>
      <c r="D65">
        <v>37.5</v>
      </c>
      <c r="E65">
        <v>35.5</v>
      </c>
      <c r="F65">
        <v>39.299999999999997</v>
      </c>
      <c r="J65" t="s">
        <v>1</v>
      </c>
      <c r="K65">
        <v>44.8</v>
      </c>
      <c r="L65">
        <v>45.3</v>
      </c>
      <c r="M65">
        <v>42.3</v>
      </c>
      <c r="N65">
        <v>45.9</v>
      </c>
      <c r="O65">
        <v>51.9</v>
      </c>
    </row>
    <row r="66" spans="1:15" x14ac:dyDescent="0.2">
      <c r="A66" t="s">
        <v>14</v>
      </c>
      <c r="B66">
        <v>31.7</v>
      </c>
      <c r="C66">
        <v>29.3</v>
      </c>
      <c r="D66">
        <v>33</v>
      </c>
      <c r="E66">
        <v>33.5</v>
      </c>
      <c r="F66">
        <v>36</v>
      </c>
      <c r="J66" t="s">
        <v>14</v>
      </c>
      <c r="K66">
        <v>41.3</v>
      </c>
      <c r="L66">
        <v>42.2</v>
      </c>
      <c r="M66">
        <v>39.700000000000003</v>
      </c>
      <c r="N66">
        <v>43.7</v>
      </c>
      <c r="O66">
        <v>48.1</v>
      </c>
    </row>
    <row r="67" spans="1:15" x14ac:dyDescent="0.2">
      <c r="A67" t="s">
        <v>27</v>
      </c>
      <c r="J67" t="s">
        <v>27</v>
      </c>
    </row>
    <row r="68" spans="1:15" x14ac:dyDescent="0.2">
      <c r="A68" t="s">
        <v>14</v>
      </c>
      <c r="B68">
        <f>1-B66/B65</f>
        <v>0.15013404825737264</v>
      </c>
      <c r="C68">
        <f t="shared" ref="C68:O68" si="21">1-C66/C65</f>
        <v>0.17231638418079087</v>
      </c>
      <c r="D68">
        <f t="shared" si="21"/>
        <v>0.12</v>
      </c>
      <c r="E68">
        <f t="shared" si="21"/>
        <v>5.633802816901412E-2</v>
      </c>
      <c r="F68">
        <f t="shared" si="21"/>
        <v>8.396946564885488E-2</v>
      </c>
      <c r="J68" t="s">
        <v>14</v>
      </c>
      <c r="K68">
        <f t="shared" si="21"/>
        <v>7.8125E-2</v>
      </c>
      <c r="L68">
        <f t="shared" si="21"/>
        <v>6.843267108167761E-2</v>
      </c>
      <c r="M68">
        <f t="shared" si="21"/>
        <v>6.1465721040188992E-2</v>
      </c>
      <c r="N68">
        <f t="shared" si="21"/>
        <v>4.7930283224400738E-2</v>
      </c>
      <c r="O68">
        <f t="shared" si="21"/>
        <v>7.3217726396917149E-2</v>
      </c>
    </row>
  </sheetData>
  <mergeCells count="2">
    <mergeCell ref="A1:H1"/>
    <mergeCell ref="J1:Q1"/>
  </mergeCells>
  <hyperlinks>
    <hyperlink ref="A2" r:id="rId1" xr:uid="{CD0996E5-6A7F-F647-9B2C-1CBBD3E8AD12}"/>
    <hyperlink ref="A12" r:id="rId2" xr:uid="{B57F5FFC-346F-A845-B33F-277486A5AD89}"/>
    <hyperlink ref="A22" r:id="rId3" xr:uid="{BF71F08A-FA05-DF48-846F-2BED92E6CC2D}"/>
    <hyperlink ref="A32" r:id="rId4" xr:uid="{19A1707A-130F-BB42-B889-8C1571C4CEB2}"/>
    <hyperlink ref="A57" r:id="rId5" xr:uid="{24516906-67D9-E948-9E22-922E1029D1F4}"/>
    <hyperlink ref="A64" r:id="rId6" xr:uid="{65CA32C3-F40F-8A48-BEC6-A67505165DA3}"/>
    <hyperlink ref="A45" r:id="rId7" xr:uid="{52DCF812-A50C-4C42-9C52-FC803B062635}"/>
    <hyperlink ref="J2" r:id="rId8" xr:uid="{D2A14236-2A2E-6D4A-9483-E13ED3FD8499}"/>
    <hyperlink ref="J12" r:id="rId9" xr:uid="{2CC219DD-80D3-EE40-AD41-6A2871DFA7E1}"/>
    <hyperlink ref="J22" r:id="rId10" xr:uid="{C345A7C3-5414-2B48-A18A-7579A33B69C8}"/>
    <hyperlink ref="J32" r:id="rId11" xr:uid="{913C348B-32A7-894A-B6CB-3A9AC72D98C3}"/>
    <hyperlink ref="J57" r:id="rId12" xr:uid="{DDE2C08B-53F1-3448-ABDD-6EF57B7EA20D}"/>
    <hyperlink ref="J64" r:id="rId13" xr:uid="{02939CF6-FC88-0546-A862-8BB05757DE23}"/>
    <hyperlink ref="J45" r:id="rId14" xr:uid="{0C55164F-6D97-8649-86C9-5CB1CD2875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</dc:creator>
  <cp:lastModifiedBy>YangLiu</cp:lastModifiedBy>
  <dcterms:created xsi:type="dcterms:W3CDTF">2025-02-28T00:23:53Z</dcterms:created>
  <dcterms:modified xsi:type="dcterms:W3CDTF">2025-06-17T14:06:10Z</dcterms:modified>
</cp:coreProperties>
</file>