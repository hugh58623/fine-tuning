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CAFA3C2A-EF5C-DE46-8A6F-9C2709E9640E}" xr6:coauthVersionLast="47" xr6:coauthVersionMax="47" xr10:uidLastSave="{00000000-0000-0000-0000-000000000000}"/>
  <bookViews>
    <workbookView xWindow="68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N68" i="1"/>
  <c r="M68" i="1"/>
  <c r="L68" i="1"/>
  <c r="K68" i="1"/>
  <c r="F68" i="1"/>
  <c r="E68" i="1"/>
  <c r="D68" i="1"/>
  <c r="C68" i="1"/>
  <c r="B68" i="1"/>
  <c r="P42" i="1"/>
  <c r="O42" i="1"/>
  <c r="N42" i="1"/>
  <c r="M42" i="1"/>
  <c r="L42" i="1"/>
  <c r="K42" i="1"/>
  <c r="G42" i="1"/>
  <c r="F42" i="1"/>
  <c r="E42" i="1"/>
  <c r="D42" i="1"/>
  <c r="C42" i="1"/>
  <c r="B42" i="1"/>
  <c r="P41" i="1"/>
  <c r="O41" i="1"/>
  <c r="N41" i="1"/>
  <c r="M41" i="1"/>
  <c r="L41" i="1"/>
  <c r="K41" i="1"/>
  <c r="G41" i="1"/>
  <c r="F41" i="1"/>
  <c r="E41" i="1"/>
  <c r="D41" i="1"/>
  <c r="C41" i="1"/>
  <c r="B41" i="1"/>
  <c r="P40" i="1"/>
  <c r="O40" i="1"/>
  <c r="N40" i="1"/>
  <c r="M40" i="1"/>
  <c r="L40" i="1"/>
  <c r="K40" i="1"/>
  <c r="G40" i="1"/>
  <c r="F40" i="1"/>
  <c r="E40" i="1"/>
  <c r="D40" i="1"/>
  <c r="C40" i="1"/>
  <c r="B40" i="1"/>
  <c r="P39" i="1"/>
  <c r="O39" i="1"/>
  <c r="N39" i="1"/>
  <c r="M39" i="1"/>
  <c r="L39" i="1"/>
  <c r="K39" i="1"/>
  <c r="G39" i="1"/>
  <c r="F39" i="1"/>
  <c r="E39" i="1"/>
  <c r="D39" i="1"/>
  <c r="C39" i="1"/>
  <c r="B39" i="1"/>
  <c r="O30" i="1"/>
  <c r="N30" i="1"/>
  <c r="M30" i="1"/>
  <c r="L30" i="1"/>
  <c r="K30" i="1"/>
  <c r="F30" i="1"/>
  <c r="E30" i="1"/>
  <c r="D30" i="1"/>
  <c r="C30" i="1"/>
  <c r="B30" i="1"/>
  <c r="O29" i="1"/>
  <c r="N29" i="1"/>
  <c r="M29" i="1"/>
  <c r="L29" i="1"/>
  <c r="K29" i="1"/>
  <c r="F29" i="1"/>
  <c r="E29" i="1"/>
  <c r="D29" i="1"/>
  <c r="C29" i="1"/>
  <c r="B29" i="1"/>
  <c r="O28" i="1"/>
  <c r="N28" i="1"/>
  <c r="M28" i="1"/>
  <c r="L28" i="1"/>
  <c r="K28" i="1"/>
  <c r="F28" i="1"/>
  <c r="E28" i="1"/>
  <c r="D28" i="1"/>
  <c r="C28" i="1"/>
  <c r="B28" i="1"/>
  <c r="O20" i="1"/>
  <c r="N20" i="1"/>
  <c r="M20" i="1"/>
  <c r="L20" i="1"/>
  <c r="K20" i="1"/>
  <c r="F20" i="1"/>
  <c r="E20" i="1"/>
  <c r="D20" i="1"/>
  <c r="C20" i="1"/>
  <c r="B20" i="1"/>
  <c r="O19" i="1"/>
  <c r="N19" i="1"/>
  <c r="M19" i="1"/>
  <c r="L19" i="1"/>
  <c r="K19" i="1"/>
  <c r="F19" i="1"/>
  <c r="E19" i="1"/>
  <c r="D19" i="1"/>
  <c r="C19" i="1"/>
  <c r="B19" i="1"/>
  <c r="O18" i="1"/>
  <c r="N18" i="1"/>
  <c r="M18" i="1"/>
  <c r="L18" i="1"/>
  <c r="K18" i="1"/>
  <c r="F18" i="1"/>
  <c r="E18" i="1"/>
  <c r="D18" i="1"/>
  <c r="C18" i="1"/>
  <c r="B18" i="1"/>
  <c r="O10" i="1"/>
  <c r="N10" i="1"/>
  <c r="M10" i="1"/>
  <c r="L10" i="1"/>
  <c r="K10" i="1"/>
  <c r="F10" i="1"/>
  <c r="E10" i="1"/>
  <c r="D10" i="1"/>
  <c r="C10" i="1"/>
  <c r="B10" i="1"/>
  <c r="O9" i="1"/>
  <c r="N9" i="1"/>
  <c r="M9" i="1"/>
  <c r="L9" i="1"/>
  <c r="K9" i="1"/>
  <c r="F9" i="1"/>
  <c r="E9" i="1"/>
  <c r="D9" i="1"/>
  <c r="C9" i="1"/>
  <c r="B9" i="1"/>
  <c r="O8" i="1"/>
  <c r="N8" i="1"/>
  <c r="M8" i="1"/>
  <c r="L8" i="1"/>
  <c r="K8" i="1"/>
  <c r="F8" i="1"/>
  <c r="E8" i="1"/>
  <c r="D8" i="1"/>
  <c r="C8" i="1"/>
  <c r="B8" i="1"/>
  <c r="B48" i="1" l="1"/>
  <c r="C48" i="1"/>
  <c r="D48" i="1"/>
  <c r="E48" i="1"/>
  <c r="F48" i="1"/>
  <c r="G48" i="1"/>
  <c r="H48" i="1"/>
  <c r="K59" i="1"/>
  <c r="K62" i="1" s="1"/>
  <c r="K58" i="1"/>
  <c r="K48" i="1"/>
  <c r="Q59" i="1"/>
  <c r="P59" i="1"/>
  <c r="P62" i="1" s="1"/>
  <c r="O59" i="1"/>
  <c r="O62" i="1" s="1"/>
  <c r="N59" i="1"/>
  <c r="N62" i="1" s="1"/>
  <c r="M59" i="1"/>
  <c r="M62" i="1" s="1"/>
  <c r="L59" i="1"/>
  <c r="Q58" i="1"/>
  <c r="P58" i="1"/>
  <c r="O58" i="1"/>
  <c r="N58" i="1"/>
  <c r="M58" i="1"/>
  <c r="L58" i="1"/>
  <c r="Q56" i="1"/>
  <c r="P56" i="1"/>
  <c r="O56" i="1"/>
  <c r="N56" i="1"/>
  <c r="M56" i="1"/>
  <c r="L56" i="1"/>
  <c r="K56" i="1"/>
  <c r="Q52" i="1"/>
  <c r="P52" i="1"/>
  <c r="O52" i="1"/>
  <c r="N52" i="1"/>
  <c r="M52" i="1"/>
  <c r="L52" i="1"/>
  <c r="K52" i="1"/>
  <c r="Q48" i="1"/>
  <c r="P48" i="1"/>
  <c r="O48" i="1"/>
  <c r="N48" i="1"/>
  <c r="M48" i="1"/>
  <c r="L48" i="1"/>
  <c r="C56" i="1"/>
  <c r="D56" i="1"/>
  <c r="E56" i="1"/>
  <c r="F56" i="1"/>
  <c r="G56" i="1"/>
  <c r="H56" i="1"/>
  <c r="B56" i="1"/>
  <c r="C52" i="1"/>
  <c r="D52" i="1"/>
  <c r="E52" i="1"/>
  <c r="F52" i="1"/>
  <c r="G52" i="1"/>
  <c r="H52" i="1"/>
  <c r="B52" i="1"/>
  <c r="C59" i="1"/>
  <c r="D59" i="1"/>
  <c r="E59" i="1"/>
  <c r="E62" i="1" s="1"/>
  <c r="F59" i="1"/>
  <c r="F62" i="1" s="1"/>
  <c r="G59" i="1"/>
  <c r="G62" i="1" s="1"/>
  <c r="H59" i="1"/>
  <c r="H62" i="1" s="1"/>
  <c r="B59" i="1"/>
  <c r="B62" i="1" s="1"/>
  <c r="C58" i="1"/>
  <c r="D58" i="1"/>
  <c r="E58" i="1"/>
  <c r="F58" i="1"/>
  <c r="G58" i="1"/>
  <c r="H58" i="1"/>
  <c r="B58" i="1"/>
  <c r="L62" i="1" l="1"/>
  <c r="Q62" i="1"/>
  <c r="D62" i="1"/>
  <c r="C62" i="1"/>
  <c r="H60" i="1"/>
  <c r="G60" i="1"/>
  <c r="B60" i="1"/>
  <c r="F60" i="1"/>
  <c r="E60" i="1"/>
  <c r="D60" i="1"/>
  <c r="C60" i="1"/>
  <c r="P60" i="1"/>
  <c r="Q60" i="1"/>
  <c r="K60" i="1"/>
  <c r="M60" i="1"/>
  <c r="L60" i="1"/>
  <c r="O60" i="1"/>
  <c r="N60" i="1"/>
</calcChain>
</file>

<file path=xl/sharedStrings.xml><?xml version="1.0" encoding="utf-8"?>
<sst xmlns="http://schemas.openxmlformats.org/spreadsheetml/2006/main" count="185" uniqueCount="35">
  <si>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</si>
  <si>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</si>
  <si>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</si>
  <si>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</si>
  <si>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</si>
  <si>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</si>
  <si>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</si>
  <si>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</si>
  <si>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</si>
  <si>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</si>
  <si>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</si>
  <si>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</si>
  <si>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</si>
  <si>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</si>
  <si>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</si>
  <si>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</si>
  <si>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</si>
  <si>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</si>
  <si>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</si>
  <si>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</si>
  <si>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</si>
  <si>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</si>
  <si>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</si>
  <si>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</si>
  <si>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</si>
  <si>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</si>
  <si>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pass@1</t>
  </si>
  <si>
    <t>RD</t>
  </si>
  <si>
    <t>Difference</t>
  </si>
  <si>
    <t>average nomin</t>
  </si>
  <si>
    <t>average mix</t>
  </si>
  <si>
    <t>average Difference</t>
  </si>
  <si>
    <t>HumanEval</t>
  </si>
  <si>
    <t>MBPP</t>
  </si>
  <si>
    <t>HumanEval_Java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</si>
</sst>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Z68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26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  <c r="S1" s="3" t="s">
        <v>34</v>
      </c>
      <c r="T1" s="3"/>
      <c r="U1" s="3"/>
      <c r="V1" s="3"/>
      <c r="W1" s="3"/>
      <c r="X1" s="3"/>
      <c r="Y1" s="3"/>
      <c r="Z1" s="3"/>
    </row>
    <row r="2" spans="1:26" x14ac:dyDescent="0.2">
      <c r="A2" s="2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26</v>
      </c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1:26" x14ac:dyDescent="0.2">
      <c r="A3" t="s">
        <v>1</v>
      </c>
      <c r="B3">
        <v>14.3</v>
      </c>
      <c r="C3">
        <v>13.8</v>
      </c>
      <c r="D3">
        <v>12.5</v>
      </c>
      <c r="E3">
        <v>12.4</v>
      </c>
      <c r="F3">
        <v>13.2</v>
      </c>
      <c r="J3" t="s">
        <v>1</v>
      </c>
      <c r="K3">
        <v>29.1</v>
      </c>
      <c r="L3">
        <v>30.4</v>
      </c>
      <c r="M3">
        <v>29.3</v>
      </c>
      <c r="N3">
        <v>29.5</v>
      </c>
      <c r="O3">
        <v>29.1</v>
      </c>
    </row>
    <row r="4" spans="1:26" x14ac:dyDescent="0.2">
      <c r="A4" t="s">
        <v>2</v>
      </c>
      <c r="B4">
        <v>3.9</v>
      </c>
      <c r="C4">
        <v>12.9</v>
      </c>
      <c r="D4">
        <v>12.2</v>
      </c>
      <c r="E4">
        <v>12.1</v>
      </c>
      <c r="F4">
        <v>11.6</v>
      </c>
      <c r="J4" t="s">
        <v>2</v>
      </c>
      <c r="K4">
        <v>24.8</v>
      </c>
      <c r="L4">
        <v>26.2</v>
      </c>
      <c r="M4">
        <v>26.9</v>
      </c>
      <c r="N4">
        <v>26.2</v>
      </c>
      <c r="O4">
        <v>26.3</v>
      </c>
    </row>
    <row r="5" spans="1:26" x14ac:dyDescent="0.2">
      <c r="A5" t="s">
        <v>3</v>
      </c>
      <c r="B5">
        <v>4.2</v>
      </c>
      <c r="C5">
        <v>13.5</v>
      </c>
      <c r="D5">
        <v>13.1</v>
      </c>
      <c r="E5">
        <v>13.2</v>
      </c>
      <c r="F5">
        <v>13</v>
      </c>
      <c r="J5" t="s">
        <v>3</v>
      </c>
      <c r="K5">
        <v>22.5</v>
      </c>
      <c r="L5">
        <v>25.4</v>
      </c>
      <c r="M5">
        <v>26.2</v>
      </c>
      <c r="N5">
        <v>26</v>
      </c>
      <c r="O5">
        <v>25.5</v>
      </c>
    </row>
    <row r="6" spans="1:26" x14ac:dyDescent="0.2">
      <c r="A6" t="s">
        <v>4</v>
      </c>
      <c r="B6">
        <v>5.2</v>
      </c>
      <c r="C6">
        <v>11.8</v>
      </c>
      <c r="D6">
        <v>12.1</v>
      </c>
      <c r="E6">
        <v>12.2</v>
      </c>
      <c r="F6">
        <v>12.7</v>
      </c>
      <c r="J6" t="s">
        <v>4</v>
      </c>
      <c r="K6">
        <v>19.5</v>
      </c>
      <c r="L6">
        <v>22.7</v>
      </c>
      <c r="M6">
        <v>24.1</v>
      </c>
      <c r="N6">
        <v>23.6</v>
      </c>
      <c r="O6">
        <v>24.7</v>
      </c>
    </row>
    <row r="7" spans="1:26" x14ac:dyDescent="0.2">
      <c r="A7" t="s">
        <v>27</v>
      </c>
      <c r="J7" t="s">
        <v>27</v>
      </c>
    </row>
    <row r="8" spans="1:26" x14ac:dyDescent="0.2">
      <c r="A8" t="s">
        <v>2</v>
      </c>
      <c r="B8">
        <f>1-B4/B3</f>
        <v>0.72727272727272729</v>
      </c>
      <c r="C8">
        <f t="shared" ref="C8:F8" si="0">1-C4/C3</f>
        <v>6.5217391304347894E-2</v>
      </c>
      <c r="D8">
        <f t="shared" si="0"/>
        <v>2.4000000000000021E-2</v>
      </c>
      <c r="E8">
        <f t="shared" si="0"/>
        <v>2.4193548387096864E-2</v>
      </c>
      <c r="F8">
        <f t="shared" si="0"/>
        <v>0.12121212121212122</v>
      </c>
      <c r="J8" t="s">
        <v>2</v>
      </c>
      <c r="K8">
        <f t="shared" ref="K8:O8" si="1">1-K4/K3</f>
        <v>0.14776632302405501</v>
      </c>
      <c r="L8">
        <f t="shared" si="1"/>
        <v>0.13815789473684204</v>
      </c>
      <c r="M8">
        <f t="shared" si="1"/>
        <v>8.1911262798634921E-2</v>
      </c>
      <c r="N8">
        <f t="shared" si="1"/>
        <v>0.11186440677966103</v>
      </c>
      <c r="O8">
        <f t="shared" si="1"/>
        <v>9.6219931271477654E-2</v>
      </c>
    </row>
    <row r="9" spans="1:26" x14ac:dyDescent="0.2">
      <c r="A9" t="s">
        <v>3</v>
      </c>
      <c r="B9">
        <f>1-B5/B3</f>
        <v>0.70629370629370625</v>
      </c>
      <c r="C9">
        <f t="shared" ref="C9:F9" si="2">1-C5/C3</f>
        <v>2.1739130434782705E-2</v>
      </c>
      <c r="D9">
        <f t="shared" si="2"/>
        <v>-4.8000000000000043E-2</v>
      </c>
      <c r="E9">
        <f t="shared" si="2"/>
        <v>-6.4516129032258007E-2</v>
      </c>
      <c r="F9">
        <f t="shared" si="2"/>
        <v>1.5151515151515138E-2</v>
      </c>
      <c r="J9" t="s">
        <v>3</v>
      </c>
      <c r="K9">
        <f t="shared" ref="K9:O9" si="3">1-K5/K3</f>
        <v>0.22680412371134029</v>
      </c>
      <c r="L9">
        <f t="shared" si="3"/>
        <v>0.16447368421052633</v>
      </c>
      <c r="M9">
        <f t="shared" si="3"/>
        <v>0.10580204778156999</v>
      </c>
      <c r="N9">
        <f t="shared" si="3"/>
        <v>0.11864406779661019</v>
      </c>
      <c r="O9">
        <f t="shared" si="3"/>
        <v>0.12371134020618557</v>
      </c>
    </row>
    <row r="10" spans="1:26" x14ac:dyDescent="0.2">
      <c r="A10" t="s">
        <v>4</v>
      </c>
      <c r="B10">
        <f>1-B6/B3</f>
        <v>0.63636363636363635</v>
      </c>
      <c r="C10">
        <f t="shared" ref="C10:F10" si="4">1-C6/C3</f>
        <v>0.14492753623188404</v>
      </c>
      <c r="D10">
        <f t="shared" si="4"/>
        <v>3.2000000000000028E-2</v>
      </c>
      <c r="E10">
        <f t="shared" si="4"/>
        <v>1.6129032258064613E-2</v>
      </c>
      <c r="F10">
        <f t="shared" si="4"/>
        <v>3.7878787878787845E-2</v>
      </c>
      <c r="J10" t="s">
        <v>4</v>
      </c>
      <c r="K10">
        <f t="shared" ref="K10:O10" si="5">1-K6/K3</f>
        <v>0.32989690721649489</v>
      </c>
      <c r="L10">
        <f t="shared" si="5"/>
        <v>0.25328947368421051</v>
      </c>
      <c r="M10">
        <f t="shared" si="5"/>
        <v>0.1774744027303754</v>
      </c>
      <c r="N10">
        <f t="shared" si="5"/>
        <v>0.19999999999999996</v>
      </c>
      <c r="O10">
        <f t="shared" si="5"/>
        <v>0.15120274914089349</v>
      </c>
    </row>
    <row r="12" spans="1:26" x14ac:dyDescent="0.2">
      <c r="A12" s="2" t="s">
        <v>26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26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</row>
    <row r="13" spans="1:26" x14ac:dyDescent="0.2">
      <c r="A13" t="s">
        <v>1</v>
      </c>
      <c r="B13">
        <v>14.3</v>
      </c>
      <c r="C13">
        <v>13.8</v>
      </c>
      <c r="D13">
        <v>13.3</v>
      </c>
      <c r="E13">
        <v>13.6</v>
      </c>
      <c r="F13">
        <v>13.3</v>
      </c>
      <c r="J13" t="s">
        <v>1</v>
      </c>
      <c r="K13">
        <v>29.1</v>
      </c>
      <c r="L13">
        <v>30.4</v>
      </c>
      <c r="M13">
        <v>29.1</v>
      </c>
      <c r="N13">
        <v>28.7</v>
      </c>
      <c r="O13">
        <v>28.9</v>
      </c>
    </row>
    <row r="14" spans="1:26" x14ac:dyDescent="0.2">
      <c r="A14" t="s">
        <v>5</v>
      </c>
      <c r="B14">
        <v>4.5</v>
      </c>
      <c r="C14">
        <v>14.3</v>
      </c>
      <c r="D14">
        <v>14.3</v>
      </c>
      <c r="E14">
        <v>14.4</v>
      </c>
      <c r="F14">
        <v>13.9</v>
      </c>
      <c r="J14" t="s">
        <v>5</v>
      </c>
      <c r="K14">
        <v>21</v>
      </c>
      <c r="L14">
        <v>25.8</v>
      </c>
      <c r="M14">
        <v>26.7</v>
      </c>
      <c r="N14">
        <v>25</v>
      </c>
      <c r="O14">
        <v>25.2</v>
      </c>
    </row>
    <row r="15" spans="1:26" x14ac:dyDescent="0.2">
      <c r="A15" t="s">
        <v>6</v>
      </c>
      <c r="B15">
        <v>3.7</v>
      </c>
      <c r="C15">
        <v>14.1</v>
      </c>
      <c r="D15">
        <v>14.2</v>
      </c>
      <c r="E15">
        <v>13.5</v>
      </c>
      <c r="F15">
        <v>13.7</v>
      </c>
      <c r="J15" t="s">
        <v>6</v>
      </c>
      <c r="K15">
        <v>23.3</v>
      </c>
      <c r="L15">
        <v>26</v>
      </c>
      <c r="M15">
        <v>26</v>
      </c>
      <c r="N15">
        <v>26.1</v>
      </c>
      <c r="O15">
        <v>26</v>
      </c>
    </row>
    <row r="16" spans="1:26" x14ac:dyDescent="0.2">
      <c r="A16" t="s">
        <v>7</v>
      </c>
      <c r="B16">
        <v>4</v>
      </c>
      <c r="C16">
        <v>13.6</v>
      </c>
      <c r="D16">
        <v>13.1</v>
      </c>
      <c r="E16">
        <v>12.7</v>
      </c>
      <c r="F16">
        <v>12.9</v>
      </c>
      <c r="J16" t="s">
        <v>7</v>
      </c>
      <c r="K16">
        <v>20</v>
      </c>
      <c r="L16">
        <v>24.9</v>
      </c>
      <c r="M16">
        <v>24.6</v>
      </c>
      <c r="N16">
        <v>24.3</v>
      </c>
      <c r="O16">
        <v>24.4</v>
      </c>
    </row>
    <row r="17" spans="1:16" x14ac:dyDescent="0.2">
      <c r="A17" t="s">
        <v>27</v>
      </c>
      <c r="J17" t="s">
        <v>27</v>
      </c>
    </row>
    <row r="18" spans="1:16" x14ac:dyDescent="0.2">
      <c r="A18" t="s">
        <v>5</v>
      </c>
      <c r="B18">
        <f>1-B14/B13</f>
        <v>0.68531468531468531</v>
      </c>
      <c r="C18">
        <f t="shared" ref="C18:F18" si="6">1-C14/C13</f>
        <v>-3.6231884057970953E-2</v>
      </c>
      <c r="D18">
        <f t="shared" si="6"/>
        <v>-7.5187969924812137E-2</v>
      </c>
      <c r="E18">
        <f t="shared" si="6"/>
        <v>-5.8823529411764719E-2</v>
      </c>
      <c r="F18">
        <f t="shared" si="6"/>
        <v>-4.5112781954887105E-2</v>
      </c>
      <c r="J18" t="s">
        <v>5</v>
      </c>
      <c r="K18">
        <f t="shared" ref="K18:O18" si="7">1-K14/K13</f>
        <v>0.27835051546391754</v>
      </c>
      <c r="L18">
        <f t="shared" si="7"/>
        <v>0.15131578947368418</v>
      </c>
      <c r="M18">
        <f t="shared" si="7"/>
        <v>8.2474226804123751E-2</v>
      </c>
      <c r="N18">
        <f t="shared" si="7"/>
        <v>0.12891986062717764</v>
      </c>
      <c r="O18">
        <f t="shared" si="7"/>
        <v>0.12802768166089962</v>
      </c>
    </row>
    <row r="19" spans="1:16" x14ac:dyDescent="0.2">
      <c r="A19" t="s">
        <v>6</v>
      </c>
      <c r="B19">
        <f>1-B15/B13</f>
        <v>0.74125874125874125</v>
      </c>
      <c r="C19">
        <f t="shared" ref="C19:F19" si="8">1-C15/C13</f>
        <v>-2.1739130434782483E-2</v>
      </c>
      <c r="D19">
        <f t="shared" si="8"/>
        <v>-6.7669172932330657E-2</v>
      </c>
      <c r="E19">
        <f t="shared" si="8"/>
        <v>7.3529411764705621E-3</v>
      </c>
      <c r="F19">
        <f t="shared" si="8"/>
        <v>-3.007518796992481E-2</v>
      </c>
      <c r="J19" t="s">
        <v>6</v>
      </c>
      <c r="K19">
        <f t="shared" ref="K19:O19" si="9">1-K15/K13</f>
        <v>0.19931271477663237</v>
      </c>
      <c r="L19">
        <f t="shared" si="9"/>
        <v>0.14473684210526316</v>
      </c>
      <c r="M19">
        <f t="shared" si="9"/>
        <v>0.10652920962199319</v>
      </c>
      <c r="N19">
        <f t="shared" si="9"/>
        <v>9.0592334494773441E-2</v>
      </c>
      <c r="O19">
        <f t="shared" si="9"/>
        <v>0.10034602076124566</v>
      </c>
    </row>
    <row r="20" spans="1:16" x14ac:dyDescent="0.2">
      <c r="A20" t="s">
        <v>7</v>
      </c>
      <c r="B20">
        <f>1-B16/B13</f>
        <v>0.72027972027972031</v>
      </c>
      <c r="C20">
        <f t="shared" ref="C20:F20" si="10">1-C16/C13</f>
        <v>1.449275362318847E-2</v>
      </c>
      <c r="D20">
        <f t="shared" si="10"/>
        <v>1.5037593984962516E-2</v>
      </c>
      <c r="E20">
        <f t="shared" si="10"/>
        <v>6.6176470588235281E-2</v>
      </c>
      <c r="F20">
        <f t="shared" si="10"/>
        <v>3.007518796992481E-2</v>
      </c>
      <c r="J20" t="s">
        <v>7</v>
      </c>
      <c r="K20">
        <f t="shared" ref="K20:O20" si="11">1-K16/K13</f>
        <v>0.3127147766323024</v>
      </c>
      <c r="L20">
        <f t="shared" si="11"/>
        <v>0.18092105263157898</v>
      </c>
      <c r="M20">
        <f t="shared" si="11"/>
        <v>0.15463917525773196</v>
      </c>
      <c r="N20">
        <f t="shared" si="11"/>
        <v>0.15331010452961669</v>
      </c>
      <c r="O20">
        <f t="shared" si="11"/>
        <v>0.15570934256055369</v>
      </c>
    </row>
    <row r="22" spans="1:16" x14ac:dyDescent="0.2">
      <c r="A22" s="2" t="s">
        <v>26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26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</row>
    <row r="23" spans="1:16" x14ac:dyDescent="0.2">
      <c r="A23" t="s">
        <v>1</v>
      </c>
      <c r="B23">
        <v>14.3</v>
      </c>
      <c r="C23">
        <v>13.8</v>
      </c>
      <c r="D23">
        <v>14.4</v>
      </c>
      <c r="E23">
        <v>13.8</v>
      </c>
      <c r="F23">
        <v>13.9</v>
      </c>
      <c r="J23" t="s">
        <v>1</v>
      </c>
      <c r="K23">
        <v>29.1</v>
      </c>
      <c r="L23">
        <v>30.4</v>
      </c>
      <c r="M23">
        <v>28.8</v>
      </c>
      <c r="N23">
        <v>29.4</v>
      </c>
      <c r="O23">
        <v>30</v>
      </c>
    </row>
    <row r="24" spans="1:16" x14ac:dyDescent="0.2">
      <c r="A24" t="s">
        <v>13</v>
      </c>
      <c r="B24">
        <v>3.9</v>
      </c>
      <c r="C24">
        <v>13.4</v>
      </c>
      <c r="D24">
        <v>14</v>
      </c>
      <c r="E24">
        <v>13.6</v>
      </c>
      <c r="F24">
        <v>13.4</v>
      </c>
      <c r="J24" t="s">
        <v>13</v>
      </c>
      <c r="K24">
        <v>22.7</v>
      </c>
      <c r="L24">
        <v>26.8</v>
      </c>
      <c r="M24">
        <v>26.8</v>
      </c>
      <c r="N24">
        <v>26.5</v>
      </c>
      <c r="O24">
        <v>26.9</v>
      </c>
    </row>
    <row r="25" spans="1:16" x14ac:dyDescent="0.2">
      <c r="A25" t="s">
        <v>8</v>
      </c>
      <c r="B25">
        <v>4.5</v>
      </c>
      <c r="C25">
        <v>14.3</v>
      </c>
      <c r="D25">
        <v>14.4</v>
      </c>
      <c r="E25">
        <v>14.4</v>
      </c>
      <c r="F25">
        <v>14.7</v>
      </c>
      <c r="J25" t="s">
        <v>8</v>
      </c>
      <c r="K25">
        <v>24.2</v>
      </c>
      <c r="L25">
        <v>27.1</v>
      </c>
      <c r="M25">
        <v>26.6</v>
      </c>
      <c r="N25">
        <v>26.4</v>
      </c>
      <c r="O25">
        <v>27</v>
      </c>
    </row>
    <row r="26" spans="1:16" x14ac:dyDescent="0.2">
      <c r="A26" t="s">
        <v>9</v>
      </c>
      <c r="B26">
        <v>4.5</v>
      </c>
      <c r="C26">
        <v>14.3</v>
      </c>
      <c r="D26">
        <v>14.5</v>
      </c>
      <c r="E26">
        <v>14.4</v>
      </c>
      <c r="F26">
        <v>14.7</v>
      </c>
      <c r="J26" t="s">
        <v>9</v>
      </c>
      <c r="K26">
        <v>24</v>
      </c>
      <c r="L26">
        <v>27.2</v>
      </c>
      <c r="M26">
        <v>26.7</v>
      </c>
      <c r="N26">
        <v>26.4</v>
      </c>
      <c r="O26">
        <v>27.5</v>
      </c>
    </row>
    <row r="27" spans="1:16" x14ac:dyDescent="0.2">
      <c r="A27" t="s">
        <v>27</v>
      </c>
      <c r="J27" t="s">
        <v>27</v>
      </c>
    </row>
    <row r="28" spans="1:16" x14ac:dyDescent="0.2">
      <c r="A28" t="s">
        <v>13</v>
      </c>
      <c r="B28">
        <f>1-B24/B23</f>
        <v>0.72727272727272729</v>
      </c>
      <c r="C28">
        <f t="shared" ref="C28:F28" si="12">1-C24/C23</f>
        <v>2.8985507246376829E-2</v>
      </c>
      <c r="D28">
        <f t="shared" si="12"/>
        <v>2.777777777777779E-2</v>
      </c>
      <c r="E28">
        <f t="shared" si="12"/>
        <v>1.449275362318847E-2</v>
      </c>
      <c r="F28">
        <f t="shared" si="12"/>
        <v>3.5971223021582732E-2</v>
      </c>
      <c r="J28" t="s">
        <v>13</v>
      </c>
      <c r="K28">
        <f t="shared" ref="K28:O28" si="13">1-K24/K23</f>
        <v>0.21993127147766334</v>
      </c>
      <c r="L28">
        <f t="shared" si="13"/>
        <v>0.11842105263157887</v>
      </c>
      <c r="M28">
        <f t="shared" si="13"/>
        <v>6.944444444444442E-2</v>
      </c>
      <c r="N28">
        <f t="shared" si="13"/>
        <v>9.8639455782312924E-2</v>
      </c>
      <c r="O28">
        <f t="shared" si="13"/>
        <v>0.10333333333333339</v>
      </c>
    </row>
    <row r="29" spans="1:16" x14ac:dyDescent="0.2">
      <c r="A29" t="s">
        <v>8</v>
      </c>
      <c r="B29">
        <f>1-B25/B23</f>
        <v>0.68531468531468531</v>
      </c>
      <c r="C29">
        <f t="shared" ref="C29:F29" si="14">1-C25/C23</f>
        <v>-3.6231884057970953E-2</v>
      </c>
      <c r="D29">
        <f t="shared" si="14"/>
        <v>0</v>
      </c>
      <c r="E29">
        <f t="shared" si="14"/>
        <v>-4.3478260869565188E-2</v>
      </c>
      <c r="F29">
        <f t="shared" si="14"/>
        <v>-5.7553956834532238E-2</v>
      </c>
      <c r="J29" t="s">
        <v>8</v>
      </c>
      <c r="K29">
        <f t="shared" ref="K29:O29" si="15">1-K25/K23</f>
        <v>0.16838487972508598</v>
      </c>
      <c r="L29">
        <f t="shared" si="15"/>
        <v>0.10855263157894723</v>
      </c>
      <c r="M29">
        <f t="shared" si="15"/>
        <v>7.638888888888884E-2</v>
      </c>
      <c r="N29">
        <f t="shared" si="15"/>
        <v>0.10204081632653061</v>
      </c>
      <c r="O29">
        <f t="shared" si="15"/>
        <v>9.9999999999999978E-2</v>
      </c>
    </row>
    <row r="30" spans="1:16" x14ac:dyDescent="0.2">
      <c r="A30" t="s">
        <v>9</v>
      </c>
      <c r="B30">
        <f>1-B26/B23</f>
        <v>0.68531468531468531</v>
      </c>
      <c r="C30">
        <f t="shared" ref="C30:F30" si="16">1-C26/C23</f>
        <v>-3.6231884057970953E-2</v>
      </c>
      <c r="D30">
        <f t="shared" si="16"/>
        <v>-6.9444444444444198E-3</v>
      </c>
      <c r="E30">
        <f t="shared" si="16"/>
        <v>-4.3478260869565188E-2</v>
      </c>
      <c r="F30">
        <f t="shared" si="16"/>
        <v>-5.7553956834532238E-2</v>
      </c>
      <c r="J30" t="s">
        <v>9</v>
      </c>
      <c r="K30">
        <f t="shared" ref="K30:O30" si="17">1-K26/K23</f>
        <v>0.17525773195876293</v>
      </c>
      <c r="L30">
        <f t="shared" si="17"/>
        <v>0.10526315789473684</v>
      </c>
      <c r="M30">
        <f t="shared" si="17"/>
        <v>7.2916666666666741E-2</v>
      </c>
      <c r="N30">
        <f t="shared" si="17"/>
        <v>0.10204081632653061</v>
      </c>
      <c r="O30">
        <f t="shared" si="17"/>
        <v>8.333333333333337E-2</v>
      </c>
    </row>
    <row r="32" spans="1:16" x14ac:dyDescent="0.2">
      <c r="A32" s="2" t="s">
        <v>26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26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</row>
    <row r="33" spans="1:17" x14ac:dyDescent="0.2">
      <c r="A33" t="s">
        <v>1</v>
      </c>
      <c r="B33">
        <v>14.3</v>
      </c>
      <c r="C33">
        <v>13.8</v>
      </c>
      <c r="D33">
        <v>12.9</v>
      </c>
      <c r="E33">
        <v>13.2</v>
      </c>
      <c r="F33">
        <v>14.5</v>
      </c>
      <c r="G33">
        <v>14.2</v>
      </c>
      <c r="J33" t="s">
        <v>1</v>
      </c>
      <c r="K33">
        <v>29.1</v>
      </c>
      <c r="L33">
        <v>30.4</v>
      </c>
      <c r="M33">
        <v>28.9</v>
      </c>
      <c r="N33">
        <v>29.3</v>
      </c>
      <c r="O33">
        <v>29.4</v>
      </c>
      <c r="P33">
        <v>28.6</v>
      </c>
    </row>
    <row r="34" spans="1:17" x14ac:dyDescent="0.2">
      <c r="A34" t="s">
        <v>10</v>
      </c>
      <c r="B34">
        <v>4.0999999999999996</v>
      </c>
      <c r="C34">
        <v>11.2</v>
      </c>
      <c r="D34">
        <v>12.1</v>
      </c>
      <c r="E34">
        <v>10.9</v>
      </c>
      <c r="F34">
        <v>11.3</v>
      </c>
      <c r="G34">
        <v>11.9</v>
      </c>
      <c r="J34" t="s">
        <v>10</v>
      </c>
      <c r="K34">
        <v>22.5</v>
      </c>
      <c r="L34">
        <v>24.2</v>
      </c>
      <c r="M34">
        <v>25.3</v>
      </c>
      <c r="N34">
        <v>23.6</v>
      </c>
      <c r="O34">
        <v>24.2</v>
      </c>
      <c r="P34">
        <v>24.4</v>
      </c>
    </row>
    <row r="35" spans="1:17" x14ac:dyDescent="0.2">
      <c r="A35" t="s">
        <v>11</v>
      </c>
      <c r="B35">
        <v>3.7</v>
      </c>
      <c r="C35">
        <v>14.2</v>
      </c>
      <c r="D35">
        <v>13.9</v>
      </c>
      <c r="E35">
        <v>13.4</v>
      </c>
      <c r="F35">
        <v>14.3</v>
      </c>
      <c r="G35">
        <v>14.7</v>
      </c>
      <c r="J35" t="s">
        <v>11</v>
      </c>
      <c r="K35">
        <v>21.3</v>
      </c>
      <c r="L35">
        <v>25.5</v>
      </c>
      <c r="M35">
        <v>25.5</v>
      </c>
      <c r="N35">
        <v>25.5</v>
      </c>
      <c r="O35">
        <v>26</v>
      </c>
      <c r="P35">
        <v>25.1</v>
      </c>
    </row>
    <row r="36" spans="1:17" x14ac:dyDescent="0.2">
      <c r="A36" t="s">
        <v>12</v>
      </c>
      <c r="B36">
        <v>4.5999999999999996</v>
      </c>
      <c r="C36">
        <v>14</v>
      </c>
      <c r="D36">
        <v>13.3</v>
      </c>
      <c r="E36">
        <v>13.7</v>
      </c>
      <c r="F36">
        <v>14.6</v>
      </c>
      <c r="G36">
        <v>14.8</v>
      </c>
      <c r="J36" t="s">
        <v>12</v>
      </c>
      <c r="K36">
        <v>23.1</v>
      </c>
      <c r="L36">
        <v>27.1</v>
      </c>
      <c r="M36">
        <v>26.2</v>
      </c>
      <c r="N36">
        <v>26.5</v>
      </c>
      <c r="O36">
        <v>27</v>
      </c>
      <c r="P36">
        <v>26</v>
      </c>
    </row>
    <row r="37" spans="1:17" x14ac:dyDescent="0.2">
      <c r="A37" t="s">
        <v>14</v>
      </c>
      <c r="B37">
        <v>4.7</v>
      </c>
      <c r="C37">
        <v>14.3</v>
      </c>
      <c r="D37">
        <v>13.7</v>
      </c>
      <c r="E37">
        <v>13.5</v>
      </c>
      <c r="F37">
        <v>14.6</v>
      </c>
      <c r="G37">
        <v>14.7</v>
      </c>
      <c r="J37" t="s">
        <v>14</v>
      </c>
      <c r="K37">
        <v>22.6</v>
      </c>
      <c r="L37">
        <v>25.4</v>
      </c>
      <c r="M37">
        <v>25.9</v>
      </c>
      <c r="N37">
        <v>25.3</v>
      </c>
      <c r="O37">
        <v>26</v>
      </c>
      <c r="P37">
        <v>25.5</v>
      </c>
    </row>
    <row r="38" spans="1:17" x14ac:dyDescent="0.2">
      <c r="A38" t="s">
        <v>27</v>
      </c>
      <c r="J38" t="s">
        <v>27</v>
      </c>
    </row>
    <row r="39" spans="1:17" x14ac:dyDescent="0.2">
      <c r="A39" t="s">
        <v>10</v>
      </c>
      <c r="B39">
        <f>1-B34/B33</f>
        <v>0.71328671328671334</v>
      </c>
      <c r="C39">
        <f t="shared" ref="C39:G39" si="18">1-C34/C33</f>
        <v>0.18840579710144933</v>
      </c>
      <c r="D39">
        <f t="shared" si="18"/>
        <v>6.2015503875968991E-2</v>
      </c>
      <c r="E39">
        <f t="shared" si="18"/>
        <v>0.1742424242424242</v>
      </c>
      <c r="F39">
        <f t="shared" si="18"/>
        <v>0.22068965517241379</v>
      </c>
      <c r="G39">
        <f t="shared" si="18"/>
        <v>0.16197183098591539</v>
      </c>
      <c r="J39" t="s">
        <v>10</v>
      </c>
      <c r="K39">
        <f t="shared" ref="K39:P39" si="19">1-K34/K33</f>
        <v>0.22680412371134029</v>
      </c>
      <c r="L39">
        <f t="shared" si="19"/>
        <v>0.20394736842105265</v>
      </c>
      <c r="M39">
        <f t="shared" si="19"/>
        <v>0.12456747404844282</v>
      </c>
      <c r="N39">
        <f t="shared" si="19"/>
        <v>0.19453924914675769</v>
      </c>
      <c r="O39">
        <f t="shared" si="19"/>
        <v>0.1768707482993197</v>
      </c>
      <c r="P39">
        <f t="shared" si="19"/>
        <v>0.14685314685314699</v>
      </c>
    </row>
    <row r="40" spans="1:17" x14ac:dyDescent="0.2">
      <c r="A40" t="s">
        <v>11</v>
      </c>
      <c r="B40">
        <f>1-B35/B33</f>
        <v>0.74125874125874125</v>
      </c>
      <c r="C40">
        <f t="shared" ref="C40:G40" si="20">1-C35/C33</f>
        <v>-2.8985507246376718E-2</v>
      </c>
      <c r="D40">
        <f t="shared" si="20"/>
        <v>-7.7519379844961156E-2</v>
      </c>
      <c r="E40">
        <f t="shared" si="20"/>
        <v>-1.5151515151515138E-2</v>
      </c>
      <c r="F40">
        <f t="shared" si="20"/>
        <v>1.3793103448275779E-2</v>
      </c>
      <c r="G40">
        <f t="shared" si="20"/>
        <v>-3.5211267605633756E-2</v>
      </c>
      <c r="J40" t="s">
        <v>11</v>
      </c>
      <c r="K40">
        <f t="shared" ref="K40:P40" si="21">1-K35/K33</f>
        <v>0.26804123711340211</v>
      </c>
      <c r="L40">
        <f t="shared" si="21"/>
        <v>0.16118421052631571</v>
      </c>
      <c r="M40">
        <f t="shared" si="21"/>
        <v>0.11764705882352933</v>
      </c>
      <c r="N40">
        <f t="shared" si="21"/>
        <v>0.12969283276450516</v>
      </c>
      <c r="O40">
        <f t="shared" si="21"/>
        <v>0.11564625850340127</v>
      </c>
      <c r="P40">
        <f t="shared" si="21"/>
        <v>0.1223776223776224</v>
      </c>
    </row>
    <row r="41" spans="1:17" x14ac:dyDescent="0.2">
      <c r="A41" t="s">
        <v>12</v>
      </c>
      <c r="B41">
        <f>1-B36/B33</f>
        <v>0.67832167832167833</v>
      </c>
      <c r="C41">
        <f t="shared" ref="C41:G41" si="22">1-C36/C33</f>
        <v>-1.4492753623188248E-2</v>
      </c>
      <c r="D41">
        <f t="shared" si="22"/>
        <v>-3.1007751937984551E-2</v>
      </c>
      <c r="E41">
        <f t="shared" si="22"/>
        <v>-3.7878787878787845E-2</v>
      </c>
      <c r="F41">
        <f t="shared" si="22"/>
        <v>-6.8965517241379448E-3</v>
      </c>
      <c r="G41">
        <f t="shared" si="22"/>
        <v>-4.2253521126760729E-2</v>
      </c>
      <c r="J41" t="s">
        <v>12</v>
      </c>
      <c r="K41">
        <f t="shared" ref="K41:P41" si="23">1-K36/K33</f>
        <v>0.20618556701030932</v>
      </c>
      <c r="L41">
        <f t="shared" si="23"/>
        <v>0.10855263157894723</v>
      </c>
      <c r="M41">
        <f t="shared" si="23"/>
        <v>9.3425605536332168E-2</v>
      </c>
      <c r="N41">
        <f t="shared" si="23"/>
        <v>9.5563139931740593E-2</v>
      </c>
      <c r="O41">
        <f t="shared" si="23"/>
        <v>8.1632653061224469E-2</v>
      </c>
      <c r="P41">
        <f t="shared" si="23"/>
        <v>9.0909090909090939E-2</v>
      </c>
    </row>
    <row r="42" spans="1:17" x14ac:dyDescent="0.2">
      <c r="A42" t="s">
        <v>14</v>
      </c>
      <c r="B42">
        <f>1-B37/B33</f>
        <v>0.67132867132867136</v>
      </c>
      <c r="C42">
        <f t="shared" ref="C42:G42" si="24">1-C37/C33</f>
        <v>-3.6231884057970953E-2</v>
      </c>
      <c r="D42">
        <f t="shared" si="24"/>
        <v>-6.201550387596888E-2</v>
      </c>
      <c r="E42">
        <f t="shared" si="24"/>
        <v>-2.2727272727272707E-2</v>
      </c>
      <c r="F42">
        <f t="shared" si="24"/>
        <v>-6.8965517241379448E-3</v>
      </c>
      <c r="G42">
        <f t="shared" si="24"/>
        <v>-3.5211267605633756E-2</v>
      </c>
      <c r="J42" t="s">
        <v>14</v>
      </c>
      <c r="K42">
        <f t="shared" ref="K42:P42" si="25">1-K37/K33</f>
        <v>0.2233676975945017</v>
      </c>
      <c r="L42">
        <f t="shared" si="25"/>
        <v>0.16447368421052633</v>
      </c>
      <c r="M42">
        <f t="shared" si="25"/>
        <v>0.10380622837370246</v>
      </c>
      <c r="N42">
        <f t="shared" si="25"/>
        <v>0.13651877133105805</v>
      </c>
      <c r="O42">
        <f t="shared" si="25"/>
        <v>0.11564625850340127</v>
      </c>
      <c r="P42">
        <f t="shared" si="25"/>
        <v>0.10839160839160844</v>
      </c>
    </row>
    <row r="45" spans="1:17" x14ac:dyDescent="0.2">
      <c r="A45" s="2" t="s">
        <v>26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26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</row>
    <row r="46" spans="1:17" x14ac:dyDescent="0.2">
      <c r="A46" t="s">
        <v>1</v>
      </c>
      <c r="B46">
        <v>13.8</v>
      </c>
      <c r="C46">
        <v>14.8</v>
      </c>
      <c r="D46">
        <v>14.3</v>
      </c>
      <c r="E46">
        <v>14</v>
      </c>
      <c r="F46">
        <v>14.1</v>
      </c>
      <c r="G46">
        <v>14.1</v>
      </c>
      <c r="H46">
        <v>14.2</v>
      </c>
      <c r="J46" t="s">
        <v>1</v>
      </c>
      <c r="K46">
        <v>30.4</v>
      </c>
      <c r="L46">
        <v>30.2</v>
      </c>
      <c r="M46">
        <v>29.5</v>
      </c>
      <c r="N46">
        <v>28.8</v>
      </c>
      <c r="O46">
        <v>28</v>
      </c>
      <c r="P46">
        <v>29.2</v>
      </c>
      <c r="Q46">
        <v>28.6</v>
      </c>
    </row>
    <row r="47" spans="1:17" x14ac:dyDescent="0.2">
      <c r="A47" t="s">
        <v>14</v>
      </c>
      <c r="B47">
        <v>14.3</v>
      </c>
      <c r="C47">
        <v>14.7</v>
      </c>
      <c r="D47">
        <v>14.7</v>
      </c>
      <c r="E47">
        <v>14.5</v>
      </c>
      <c r="F47">
        <v>14.8</v>
      </c>
      <c r="G47">
        <v>14.9</v>
      </c>
      <c r="H47">
        <v>14.7</v>
      </c>
      <c r="J47" t="s">
        <v>14</v>
      </c>
      <c r="K47">
        <v>25.4</v>
      </c>
      <c r="L47">
        <v>25.9</v>
      </c>
      <c r="M47">
        <v>25.6</v>
      </c>
      <c r="N47">
        <v>25</v>
      </c>
      <c r="O47">
        <v>24.2</v>
      </c>
      <c r="P47">
        <v>25.4</v>
      </c>
      <c r="Q47">
        <v>25.5</v>
      </c>
    </row>
    <row r="48" spans="1:17" x14ac:dyDescent="0.2">
      <c r="A48" t="s">
        <v>28</v>
      </c>
      <c r="B48">
        <f>B46-B47</f>
        <v>-0.5</v>
      </c>
      <c r="C48">
        <f t="shared" ref="C48:H48" si="26">C46-C47</f>
        <v>0.10000000000000142</v>
      </c>
      <c r="D48">
        <f t="shared" si="26"/>
        <v>-0.39999999999999858</v>
      </c>
      <c r="E48">
        <f t="shared" si="26"/>
        <v>-0.5</v>
      </c>
      <c r="F48">
        <f t="shared" si="26"/>
        <v>-0.70000000000000107</v>
      </c>
      <c r="G48">
        <f t="shared" si="26"/>
        <v>-0.80000000000000071</v>
      </c>
      <c r="H48">
        <f t="shared" si="26"/>
        <v>-0.5</v>
      </c>
      <c r="J48" t="s">
        <v>28</v>
      </c>
      <c r="K48">
        <f>K46-K47</f>
        <v>5</v>
      </c>
      <c r="L48">
        <f t="shared" ref="L48" si="27">L46-L47</f>
        <v>4.3000000000000007</v>
      </c>
      <c r="M48">
        <f t="shared" ref="M48" si="28">M46-M47</f>
        <v>3.8999999999999986</v>
      </c>
      <c r="N48">
        <f t="shared" ref="N48" si="29">N46-N47</f>
        <v>3.8000000000000007</v>
      </c>
      <c r="O48">
        <f t="shared" ref="O48" si="30">O46-O47</f>
        <v>3.8000000000000007</v>
      </c>
      <c r="P48">
        <f t="shared" ref="P48" si="31">P46-P47</f>
        <v>3.8000000000000007</v>
      </c>
      <c r="Q48">
        <f t="shared" ref="Q48" si="32">Q46-Q47</f>
        <v>3.1000000000000014</v>
      </c>
    </row>
    <row r="50" spans="1:17" x14ac:dyDescent="0.2">
      <c r="A50" t="s">
        <v>1</v>
      </c>
      <c r="B50">
        <v>13.8</v>
      </c>
      <c r="C50">
        <v>14.4</v>
      </c>
      <c r="D50">
        <v>14.3</v>
      </c>
      <c r="E50">
        <v>13.8</v>
      </c>
      <c r="F50">
        <v>14.2</v>
      </c>
      <c r="G50">
        <v>14.2</v>
      </c>
      <c r="H50">
        <v>14.2</v>
      </c>
      <c r="J50" t="s">
        <v>1</v>
      </c>
      <c r="K50">
        <v>30.4</v>
      </c>
      <c r="L50">
        <v>30.1</v>
      </c>
      <c r="M50">
        <v>29.3</v>
      </c>
      <c r="N50">
        <v>29.3</v>
      </c>
      <c r="O50">
        <v>29</v>
      </c>
      <c r="P50">
        <v>28.6</v>
      </c>
      <c r="Q50">
        <v>28.6</v>
      </c>
    </row>
    <row r="51" spans="1:17" x14ac:dyDescent="0.2">
      <c r="A51" t="s">
        <v>14</v>
      </c>
      <c r="B51">
        <v>14.3</v>
      </c>
      <c r="C51">
        <v>14.7</v>
      </c>
      <c r="D51">
        <v>14.5</v>
      </c>
      <c r="E51">
        <v>14.7</v>
      </c>
      <c r="F51">
        <v>14.7</v>
      </c>
      <c r="G51">
        <v>14.7</v>
      </c>
      <c r="H51">
        <v>14.7</v>
      </c>
      <c r="J51" t="s">
        <v>14</v>
      </c>
      <c r="K51">
        <v>25.4</v>
      </c>
      <c r="L51">
        <v>25.8</v>
      </c>
      <c r="M51">
        <v>25.6</v>
      </c>
      <c r="N51">
        <v>25.9</v>
      </c>
      <c r="O51">
        <v>25.2</v>
      </c>
      <c r="P51">
        <v>25.3</v>
      </c>
      <c r="Q51">
        <v>25.5</v>
      </c>
    </row>
    <row r="52" spans="1:17" x14ac:dyDescent="0.2">
      <c r="A52" t="s">
        <v>28</v>
      </c>
      <c r="B52">
        <f>B50-B51</f>
        <v>-0.5</v>
      </c>
      <c r="C52">
        <f t="shared" ref="C52:H52" si="33">C50-C51</f>
        <v>-0.29999999999999893</v>
      </c>
      <c r="D52">
        <f t="shared" si="33"/>
        <v>-0.19999999999999929</v>
      </c>
      <c r="E52">
        <f t="shared" si="33"/>
        <v>-0.89999999999999858</v>
      </c>
      <c r="F52">
        <f t="shared" si="33"/>
        <v>-0.5</v>
      </c>
      <c r="G52">
        <f t="shared" si="33"/>
        <v>-0.5</v>
      </c>
      <c r="H52">
        <f t="shared" si="33"/>
        <v>-0.5</v>
      </c>
      <c r="J52" t="s">
        <v>28</v>
      </c>
      <c r="K52">
        <f>K50-K51</f>
        <v>5</v>
      </c>
      <c r="L52">
        <f t="shared" ref="L52" si="34">L50-L51</f>
        <v>4.3000000000000007</v>
      </c>
      <c r="M52">
        <f t="shared" ref="M52" si="35">M50-M51</f>
        <v>3.6999999999999993</v>
      </c>
      <c r="N52">
        <f t="shared" ref="N52" si="36">N50-N51</f>
        <v>3.4000000000000021</v>
      </c>
      <c r="O52">
        <f t="shared" ref="O52" si="37">O50-O51</f>
        <v>3.8000000000000007</v>
      </c>
      <c r="P52">
        <f t="shared" ref="P52" si="38">P50-P51</f>
        <v>3.3000000000000007</v>
      </c>
      <c r="Q52">
        <f t="shared" ref="Q52" si="39">Q50-Q51</f>
        <v>3.1000000000000014</v>
      </c>
    </row>
    <row r="54" spans="1:17" x14ac:dyDescent="0.2">
      <c r="A54" t="s">
        <v>1</v>
      </c>
      <c r="B54">
        <v>13.8</v>
      </c>
      <c r="C54">
        <v>14</v>
      </c>
      <c r="D54">
        <v>14.2</v>
      </c>
      <c r="E54">
        <v>14.2</v>
      </c>
      <c r="F54">
        <v>13.7</v>
      </c>
      <c r="G54">
        <v>14.4</v>
      </c>
      <c r="H54">
        <v>14.2</v>
      </c>
      <c r="J54" t="s">
        <v>1</v>
      </c>
      <c r="K54">
        <v>30.4</v>
      </c>
      <c r="L54">
        <v>29.7</v>
      </c>
      <c r="M54">
        <v>29.3</v>
      </c>
      <c r="N54">
        <v>29.2</v>
      </c>
      <c r="O54">
        <v>28.3</v>
      </c>
      <c r="P54">
        <v>28.6</v>
      </c>
      <c r="Q54">
        <v>28.6</v>
      </c>
    </row>
    <row r="55" spans="1:17" x14ac:dyDescent="0.2">
      <c r="A55" t="s">
        <v>14</v>
      </c>
      <c r="B55">
        <v>14.3</v>
      </c>
      <c r="C55">
        <v>14.3</v>
      </c>
      <c r="D55">
        <v>14.6</v>
      </c>
      <c r="E55">
        <v>14.9</v>
      </c>
      <c r="F55">
        <v>14.7</v>
      </c>
      <c r="G55">
        <v>14.5</v>
      </c>
      <c r="H55">
        <v>14.7</v>
      </c>
      <c r="J55" t="s">
        <v>14</v>
      </c>
      <c r="K55">
        <v>25.4</v>
      </c>
      <c r="L55">
        <v>25.2</v>
      </c>
      <c r="M55">
        <v>25.8</v>
      </c>
      <c r="N55">
        <v>25.3</v>
      </c>
      <c r="O55">
        <v>25.2</v>
      </c>
      <c r="P55">
        <v>24.4</v>
      </c>
      <c r="Q55">
        <v>25.5</v>
      </c>
    </row>
    <row r="56" spans="1:17" x14ac:dyDescent="0.2">
      <c r="B56">
        <f>B54-B55</f>
        <v>-0.5</v>
      </c>
      <c r="C56">
        <f t="shared" ref="C56:H56" si="40">C54-C55</f>
        <v>-0.30000000000000071</v>
      </c>
      <c r="D56">
        <f t="shared" si="40"/>
        <v>-0.40000000000000036</v>
      </c>
      <c r="E56">
        <f t="shared" si="40"/>
        <v>-0.70000000000000107</v>
      </c>
      <c r="F56">
        <f t="shared" si="40"/>
        <v>-1</v>
      </c>
      <c r="G56">
        <f t="shared" si="40"/>
        <v>-9.9999999999999645E-2</v>
      </c>
      <c r="H56">
        <f t="shared" si="40"/>
        <v>-0.5</v>
      </c>
      <c r="K56">
        <f>K54-K55</f>
        <v>5</v>
      </c>
      <c r="L56">
        <f t="shared" ref="L56" si="41">L54-L55</f>
        <v>4.5</v>
      </c>
      <c r="M56">
        <f t="shared" ref="M56" si="42">M54-M55</f>
        <v>3.5</v>
      </c>
      <c r="N56">
        <f t="shared" ref="N56" si="43">N54-N55</f>
        <v>3.8999999999999986</v>
      </c>
      <c r="O56">
        <f t="shared" ref="O56" si="44">O54-O55</f>
        <v>3.1000000000000014</v>
      </c>
      <c r="P56">
        <f t="shared" ref="P56" si="45">P54-P55</f>
        <v>4.2000000000000028</v>
      </c>
      <c r="Q56">
        <f t="shared" ref="Q56" si="46">Q54-Q55</f>
        <v>3.1000000000000014</v>
      </c>
    </row>
    <row r="57" spans="1:17" x14ac:dyDescent="0.2">
      <c r="A57" s="2" t="s">
        <v>26</v>
      </c>
      <c r="J57" s="2" t="s">
        <v>26</v>
      </c>
    </row>
    <row r="58" spans="1:17" x14ac:dyDescent="0.2">
      <c r="A58" t="s">
        <v>29</v>
      </c>
      <c r="B58" s="1">
        <f>AVERAGE(B46,B50,B54)</f>
        <v>13.800000000000002</v>
      </c>
      <c r="C58" s="1">
        <f t="shared" ref="C58:H58" si="47">AVERAGE(C46,C50,C54)</f>
        <v>14.4</v>
      </c>
      <c r="D58" s="1">
        <f t="shared" si="47"/>
        <v>14.266666666666666</v>
      </c>
      <c r="E58" s="1">
        <f t="shared" si="47"/>
        <v>14</v>
      </c>
      <c r="F58" s="1">
        <f t="shared" si="47"/>
        <v>14</v>
      </c>
      <c r="G58" s="1">
        <f t="shared" si="47"/>
        <v>14.233333333333333</v>
      </c>
      <c r="H58" s="1">
        <f t="shared" si="47"/>
        <v>14.199999999999998</v>
      </c>
      <c r="J58" t="s">
        <v>29</v>
      </c>
      <c r="K58" s="1">
        <f>AVERAGE(K46,K50,K54)</f>
        <v>30.399999999999995</v>
      </c>
      <c r="L58" s="1">
        <f t="shared" ref="L58:Q58" si="48">AVERAGE(L46,L50,L54)</f>
        <v>30</v>
      </c>
      <c r="M58" s="1">
        <f t="shared" si="48"/>
        <v>29.366666666666664</v>
      </c>
      <c r="N58" s="1">
        <f t="shared" si="48"/>
        <v>29.099999999999998</v>
      </c>
      <c r="O58" s="1">
        <f t="shared" si="48"/>
        <v>28.433333333333334</v>
      </c>
      <c r="P58" s="1">
        <f t="shared" si="48"/>
        <v>28.8</v>
      </c>
      <c r="Q58" s="1">
        <f t="shared" si="48"/>
        <v>28.600000000000005</v>
      </c>
    </row>
    <row r="59" spans="1:17" x14ac:dyDescent="0.2">
      <c r="A59" t="s">
        <v>30</v>
      </c>
      <c r="B59" s="1">
        <f>AVERAGE(B47,B51,B55)</f>
        <v>14.300000000000002</v>
      </c>
      <c r="C59" s="1">
        <f t="shared" ref="C59:H59" si="49">AVERAGE(C47,C51,C55)</f>
        <v>14.566666666666668</v>
      </c>
      <c r="D59" s="1">
        <f t="shared" si="49"/>
        <v>14.6</v>
      </c>
      <c r="E59" s="1">
        <f t="shared" si="49"/>
        <v>14.700000000000001</v>
      </c>
      <c r="F59" s="1">
        <f t="shared" si="49"/>
        <v>14.733333333333334</v>
      </c>
      <c r="G59" s="1">
        <f t="shared" si="49"/>
        <v>14.700000000000001</v>
      </c>
      <c r="H59" s="1">
        <f t="shared" si="49"/>
        <v>14.699999999999998</v>
      </c>
      <c r="J59" t="s">
        <v>30</v>
      </c>
      <c r="K59" s="1">
        <f>AVERAGE(K47,K51,K55)</f>
        <v>25.399999999999995</v>
      </c>
      <c r="L59" s="1">
        <f t="shared" ref="L59:Q59" si="50">AVERAGE(L47,L51,L55)</f>
        <v>25.633333333333336</v>
      </c>
      <c r="M59" s="1">
        <f t="shared" si="50"/>
        <v>25.666666666666668</v>
      </c>
      <c r="N59" s="1">
        <f t="shared" si="50"/>
        <v>25.400000000000002</v>
      </c>
      <c r="O59" s="1">
        <f t="shared" si="50"/>
        <v>24.866666666666664</v>
      </c>
      <c r="P59" s="1">
        <f t="shared" si="50"/>
        <v>25.033333333333331</v>
      </c>
      <c r="Q59" s="1">
        <f t="shared" si="50"/>
        <v>25.5</v>
      </c>
    </row>
    <row r="60" spans="1:17" x14ac:dyDescent="0.2">
      <c r="A60" t="s">
        <v>31</v>
      </c>
      <c r="B60" s="1">
        <f>B58-B59</f>
        <v>-0.5</v>
      </c>
      <c r="C60" s="1">
        <f t="shared" ref="C60:H60" si="51">C58-C59</f>
        <v>-0.16666666666666785</v>
      </c>
      <c r="D60" s="1">
        <f t="shared" si="51"/>
        <v>-0.33333333333333393</v>
      </c>
      <c r="E60" s="1">
        <f t="shared" si="51"/>
        <v>-0.70000000000000107</v>
      </c>
      <c r="F60" s="1">
        <f t="shared" si="51"/>
        <v>-0.73333333333333428</v>
      </c>
      <c r="G60" s="1">
        <f t="shared" si="51"/>
        <v>-0.46666666666666856</v>
      </c>
      <c r="H60" s="1">
        <f t="shared" si="51"/>
        <v>-0.5</v>
      </c>
      <c r="J60" t="s">
        <v>31</v>
      </c>
      <c r="K60" s="1">
        <f>K58-K59</f>
        <v>5</v>
      </c>
      <c r="L60" s="1">
        <f t="shared" ref="L60" si="52">L58-L59</f>
        <v>4.3666666666666636</v>
      </c>
      <c r="M60" s="1">
        <f t="shared" ref="M60" si="53">M58-M59</f>
        <v>3.6999999999999957</v>
      </c>
      <c r="N60" s="1">
        <f t="shared" ref="N60" si="54">N58-N59</f>
        <v>3.6999999999999957</v>
      </c>
      <c r="O60" s="1">
        <f t="shared" ref="O60" si="55">O58-O59</f>
        <v>3.56666666666667</v>
      </c>
      <c r="P60" s="1">
        <f t="shared" ref="P60" si="56">P58-P59</f>
        <v>3.7666666666666693</v>
      </c>
      <c r="Q60" s="1">
        <f t="shared" ref="Q60" si="57">Q58-Q59</f>
        <v>3.100000000000005</v>
      </c>
    </row>
    <row r="61" spans="1:17" x14ac:dyDescent="0.2">
      <c r="A61" t="s">
        <v>27</v>
      </c>
      <c r="B61" s="1"/>
      <c r="C61" s="1"/>
      <c r="D61" s="1"/>
      <c r="E61" s="1"/>
      <c r="F61" s="1"/>
      <c r="G61" s="1"/>
      <c r="H61" s="1"/>
      <c r="J61" t="s">
        <v>27</v>
      </c>
      <c r="K61" s="1"/>
      <c r="L61" s="1"/>
      <c r="M61" s="1"/>
      <c r="N61" s="1"/>
      <c r="O61" s="1"/>
      <c r="P61" s="1"/>
      <c r="Q61" s="1"/>
    </row>
    <row r="62" spans="1:17" x14ac:dyDescent="0.2">
      <c r="A62" t="s">
        <v>14</v>
      </c>
      <c r="B62">
        <f>1-B59/B58</f>
        <v>-3.6231884057970953E-2</v>
      </c>
      <c r="C62">
        <f t="shared" ref="C62:Q62" si="58">1-C59/C58</f>
        <v>-1.1574074074074181E-2</v>
      </c>
      <c r="D62">
        <f t="shared" si="58"/>
        <v>-2.3364485981308469E-2</v>
      </c>
      <c r="E62">
        <f t="shared" si="58"/>
        <v>-5.0000000000000044E-2</v>
      </c>
      <c r="F62">
        <f t="shared" si="58"/>
        <v>-5.2380952380952417E-2</v>
      </c>
      <c r="G62">
        <f t="shared" si="58"/>
        <v>-3.2786885245901676E-2</v>
      </c>
      <c r="H62">
        <f t="shared" si="58"/>
        <v>-3.5211267605633756E-2</v>
      </c>
      <c r="J62" t="s">
        <v>14</v>
      </c>
      <c r="K62">
        <f t="shared" si="58"/>
        <v>0.16447368421052633</v>
      </c>
      <c r="L62">
        <f t="shared" si="58"/>
        <v>0.14555555555555544</v>
      </c>
      <c r="M62">
        <f t="shared" si="58"/>
        <v>0.12599318955732108</v>
      </c>
      <c r="N62">
        <f t="shared" si="58"/>
        <v>0.12714776632302394</v>
      </c>
      <c r="O62">
        <f t="shared" si="58"/>
        <v>0.1254396248534585</v>
      </c>
      <c r="P62">
        <f t="shared" si="58"/>
        <v>0.13078703703703709</v>
      </c>
      <c r="Q62">
        <f t="shared" si="58"/>
        <v>0.10839160839160855</v>
      </c>
    </row>
    <row r="64" spans="1:17" x14ac:dyDescent="0.2">
      <c r="A64" s="2" t="s">
        <v>26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26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</row>
    <row r="65" spans="1:15" x14ac:dyDescent="0.2">
      <c r="A65" t="s">
        <v>1</v>
      </c>
      <c r="B65">
        <v>10.4</v>
      </c>
      <c r="C65">
        <v>11.8</v>
      </c>
      <c r="D65">
        <v>14.2</v>
      </c>
      <c r="E65">
        <v>14.5</v>
      </c>
      <c r="F65">
        <v>15</v>
      </c>
      <c r="J65" t="s">
        <v>1</v>
      </c>
      <c r="K65">
        <v>29.3</v>
      </c>
      <c r="L65">
        <v>29.3</v>
      </c>
      <c r="M65">
        <v>28.6</v>
      </c>
      <c r="N65">
        <v>30.2</v>
      </c>
      <c r="O65">
        <v>30.3</v>
      </c>
    </row>
    <row r="66" spans="1:15" x14ac:dyDescent="0.2">
      <c r="A66" t="s">
        <v>14</v>
      </c>
      <c r="B66">
        <v>8.6</v>
      </c>
      <c r="C66">
        <v>11.4</v>
      </c>
      <c r="D66">
        <v>14.7</v>
      </c>
      <c r="E66">
        <v>15.3</v>
      </c>
      <c r="F66">
        <v>14.8</v>
      </c>
      <c r="J66" t="s">
        <v>14</v>
      </c>
      <c r="K66">
        <v>24.8</v>
      </c>
      <c r="L66">
        <v>25.9</v>
      </c>
      <c r="M66">
        <v>25.5</v>
      </c>
      <c r="N66">
        <v>26.5</v>
      </c>
      <c r="O66">
        <v>26.4</v>
      </c>
    </row>
    <row r="67" spans="1:15" x14ac:dyDescent="0.2">
      <c r="A67" t="s">
        <v>27</v>
      </c>
      <c r="J67" t="s">
        <v>27</v>
      </c>
    </row>
    <row r="68" spans="1:15" x14ac:dyDescent="0.2">
      <c r="A68" t="s">
        <v>14</v>
      </c>
      <c r="B68">
        <f>1-B66/B65</f>
        <v>0.17307692307692313</v>
      </c>
      <c r="C68">
        <f t="shared" ref="C68:O68" si="59">1-C66/C65</f>
        <v>3.3898305084745783E-2</v>
      </c>
      <c r="D68">
        <f t="shared" si="59"/>
        <v>-3.5211267605633756E-2</v>
      </c>
      <c r="E68">
        <f t="shared" si="59"/>
        <v>-5.5172413793103559E-2</v>
      </c>
      <c r="F68">
        <f t="shared" si="59"/>
        <v>1.3333333333333308E-2</v>
      </c>
      <c r="J68" t="s">
        <v>14</v>
      </c>
      <c r="K68">
        <f t="shared" si="59"/>
        <v>0.15358361774744023</v>
      </c>
      <c r="L68">
        <f t="shared" si="59"/>
        <v>0.11604095563139938</v>
      </c>
      <c r="M68">
        <f t="shared" si="59"/>
        <v>0.10839160839160844</v>
      </c>
      <c r="N68">
        <f t="shared" si="59"/>
        <v>0.12251655629139069</v>
      </c>
      <c r="O68">
        <f t="shared" si="59"/>
        <v>0.12871287128712883</v>
      </c>
    </row>
  </sheetData>
  <mergeCells count="3">
    <mergeCell ref="A1:H1"/>
    <mergeCell ref="J1:Q1"/>
    <mergeCell ref="S1:Z1"/>
  </mergeCells>
  <hyperlinks>
    <hyperlink ref="A2" r:id="rId1" xr:uid="{0A097E8B-E27F-5F4D-B5AA-00148599F6C5}"/>
    <hyperlink ref="A12" r:id="rId2" xr:uid="{0C32EBAE-B08C-D24D-857B-DA31CC63F473}"/>
    <hyperlink ref="A22" r:id="rId3" xr:uid="{9BC82FE4-14C2-C745-8A18-794E0E695F96}"/>
    <hyperlink ref="A32" r:id="rId4" xr:uid="{821B5A2A-498D-0E4B-BD5D-604229D7C7E7}"/>
    <hyperlink ref="A57" r:id="rId5" xr:uid="{106DD915-9E66-A245-844E-4AFA481D3B9F}"/>
    <hyperlink ref="A64" r:id="rId6" xr:uid="{B90355A9-6C39-644C-A67B-4BE12CE1EEAA}"/>
    <hyperlink ref="A45" r:id="rId7" xr:uid="{7C15A4EC-0C3D-C94B-87B6-FE180F11ECD4}"/>
    <hyperlink ref="J2" r:id="rId8" xr:uid="{12CA7CD5-8FFA-1A4A-BE43-CDA0AD3D5CFA}"/>
    <hyperlink ref="J12" r:id="rId9" xr:uid="{E21BBC15-FDE7-1649-A653-BA115AF9BA45}"/>
    <hyperlink ref="J22" r:id="rId10" xr:uid="{DD64B9FE-866C-714E-AEFB-4133EB6557C7}"/>
    <hyperlink ref="J32" r:id="rId11" xr:uid="{57725A54-6E42-E647-A179-49AD4C2707FF}"/>
    <hyperlink ref="J57" r:id="rId12" xr:uid="{14F59994-C21B-DD4E-AA5C-0BD6294A7BCB}"/>
    <hyperlink ref="J64" r:id="rId13" xr:uid="{07A3EE62-4EA2-CD44-B666-CACFCC4BD31F}"/>
    <hyperlink ref="J45" r:id="rId14" xr:uid="{E60BCFC1-B4E3-8341-92EF-F4D39070D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2025-06-17T14:06:02Z</dcterms:modified>
</cp:coreProperties>
</file>