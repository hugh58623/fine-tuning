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liu/Desktop/Finetuning result/upload/"/>
    </mc:Choice>
  </mc:AlternateContent>
  <xr:revisionPtr revIDLastSave="0" documentId="13_ncr:1_{3E4B2449-CFEF-9140-BF8A-635C191756B8}" xr6:coauthVersionLast="47" xr6:coauthVersionMax="47" xr10:uidLastSave="{00000000-0000-0000-0000-000000000000}"/>
  <bookViews>
    <workbookView xWindow="680" yWindow="740" windowWidth="28040" windowHeight="16740" xr2:uid="{4E469087-E4E6-7D4F-B3F4-40AC1721A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O68" i="1" l="1"/>
  <c r="N68" i="1"/>
  <c r="M68" i="1"/>
  <c r="L68" i="1"/>
  <c r="K68" i="1"/>
  <c r="F68" i="1"/>
  <c r="E68" i="1"/>
  <c r="D68" i="1"/>
  <c r="C68" i="1"/>
  <c r="B68" i="1"/>
  <c r="P42" i="1"/>
  <c r="O42" i="1"/>
  <c r="N42" i="1"/>
  <c r="M42" i="1"/>
  <c r="L42" i="1"/>
  <c r="K42" i="1"/>
  <c r="G42" i="1"/>
  <c r="F42" i="1"/>
  <c r="E42" i="1"/>
  <c r="D42" i="1"/>
  <c r="C42" i="1"/>
  <c r="B42" i="1"/>
  <c r="P41" i="1"/>
  <c r="O41" i="1"/>
  <c r="N41" i="1"/>
  <c r="M41" i="1"/>
  <c r="L41" i="1"/>
  <c r="K41" i="1"/>
  <c r="G41" i="1"/>
  <c r="F41" i="1"/>
  <c r="E41" i="1"/>
  <c r="D41" i="1"/>
  <c r="C41" i="1"/>
  <c r="B41" i="1"/>
  <c r="P40" i="1"/>
  <c r="O40" i="1"/>
  <c r="N40" i="1"/>
  <c r="M40" i="1"/>
  <c r="L40" i="1"/>
  <c r="K40" i="1"/>
  <c r="G40" i="1"/>
  <c r="F40" i="1"/>
  <c r="E40" i="1"/>
  <c r="D40" i="1"/>
  <c r="C40" i="1"/>
  <c r="B40" i="1"/>
  <c r="P39" i="1"/>
  <c r="O39" i="1"/>
  <c r="N39" i="1"/>
  <c r="M39" i="1"/>
  <c r="L39" i="1"/>
  <c r="K39" i="1"/>
  <c r="G39" i="1"/>
  <c r="F39" i="1"/>
  <c r="E39" i="1"/>
  <c r="D39" i="1"/>
  <c r="C39" i="1"/>
  <c r="B39" i="1"/>
  <c r="O30" i="1"/>
  <c r="N30" i="1"/>
  <c r="M30" i="1"/>
  <c r="L30" i="1"/>
  <c r="K30" i="1"/>
  <c r="F30" i="1"/>
  <c r="E30" i="1"/>
  <c r="D30" i="1"/>
  <c r="C30" i="1"/>
  <c r="B30" i="1"/>
  <c r="O29" i="1"/>
  <c r="N29" i="1"/>
  <c r="M29" i="1"/>
  <c r="L29" i="1"/>
  <c r="K29" i="1"/>
  <c r="F29" i="1"/>
  <c r="E29" i="1"/>
  <c r="D29" i="1"/>
  <c r="C29" i="1"/>
  <c r="B29" i="1"/>
  <c r="O28" i="1"/>
  <c r="N28" i="1"/>
  <c r="M28" i="1"/>
  <c r="L28" i="1"/>
  <c r="K28" i="1"/>
  <c r="F28" i="1"/>
  <c r="E28" i="1"/>
  <c r="D28" i="1"/>
  <c r="C28" i="1"/>
  <c r="B28" i="1"/>
  <c r="O20" i="1"/>
  <c r="N20" i="1"/>
  <c r="M20" i="1"/>
  <c r="L20" i="1"/>
  <c r="K20" i="1"/>
  <c r="F20" i="1"/>
  <c r="E20" i="1"/>
  <c r="D20" i="1"/>
  <c r="C20" i="1"/>
  <c r="B20" i="1"/>
  <c r="O19" i="1"/>
  <c r="N19" i="1"/>
  <c r="M19" i="1"/>
  <c r="L19" i="1"/>
  <c r="K19" i="1"/>
  <c r="F19" i="1"/>
  <c r="E19" i="1"/>
  <c r="D19" i="1"/>
  <c r="C19" i="1"/>
  <c r="B19" i="1"/>
  <c r="O18" i="1"/>
  <c r="N18" i="1"/>
  <c r="M18" i="1"/>
  <c r="L18" i="1"/>
  <c r="K18" i="1"/>
  <c r="F18" i="1"/>
  <c r="E18" i="1"/>
  <c r="D18" i="1"/>
  <c r="C18" i="1"/>
  <c r="B18" i="1"/>
  <c r="O10" i="1"/>
  <c r="N10" i="1"/>
  <c r="M10" i="1"/>
  <c r="L10" i="1"/>
  <c r="K10" i="1"/>
  <c r="F10" i="1"/>
  <c r="E10" i="1"/>
  <c r="D10" i="1"/>
  <c r="C10" i="1"/>
  <c r="B10" i="1"/>
  <c r="O9" i="1"/>
  <c r="N9" i="1"/>
  <c r="M9" i="1"/>
  <c r="L9" i="1"/>
  <c r="K9" i="1"/>
  <c r="F9" i="1"/>
  <c r="E9" i="1"/>
  <c r="D9" i="1"/>
  <c r="C9" i="1"/>
  <c r="B9" i="1"/>
  <c r="O8" i="1"/>
  <c r="N8" i="1"/>
  <c r="M8" i="1"/>
  <c r="L8" i="1"/>
  <c r="K8" i="1"/>
  <c r="F8" i="1"/>
  <c r="E8" i="1"/>
  <c r="D8" i="1"/>
  <c r="C8" i="1"/>
  <c r="B8" i="1"/>
  <c r="B48" i="1" l="1"/>
  <c r="C48" i="1"/>
  <c r="D48" i="1"/>
  <c r="E48" i="1"/>
  <c r="F48" i="1"/>
  <c r="G48" i="1"/>
  <c r="H48" i="1"/>
  <c r="K59" i="1"/>
  <c r="K58" i="1"/>
  <c r="K48" i="1"/>
  <c r="Q59" i="1"/>
  <c r="P59" i="1"/>
  <c r="O59" i="1"/>
  <c r="N59" i="1"/>
  <c r="M59" i="1"/>
  <c r="L59" i="1"/>
  <c r="Q58" i="1"/>
  <c r="P58" i="1"/>
  <c r="O58" i="1"/>
  <c r="N58" i="1"/>
  <c r="M58" i="1"/>
  <c r="L58" i="1"/>
  <c r="Q56" i="1"/>
  <c r="P56" i="1"/>
  <c r="O56" i="1"/>
  <c r="N56" i="1"/>
  <c r="M56" i="1"/>
  <c r="L56" i="1"/>
  <c r="K56" i="1"/>
  <c r="Q52" i="1"/>
  <c r="P52" i="1"/>
  <c r="O52" i="1"/>
  <c r="N52" i="1"/>
  <c r="M52" i="1"/>
  <c r="L52" i="1"/>
  <c r="K52" i="1"/>
  <c r="Q48" i="1"/>
  <c r="P48" i="1"/>
  <c r="O48" i="1"/>
  <c r="N48" i="1"/>
  <c r="M48" i="1"/>
  <c r="L48" i="1"/>
  <c r="C56" i="1"/>
  <c r="D56" i="1"/>
  <c r="E56" i="1"/>
  <c r="F56" i="1"/>
  <c r="G56" i="1"/>
  <c r="H56" i="1"/>
  <c r="B56" i="1"/>
  <c r="C52" i="1"/>
  <c r="D52" i="1"/>
  <c r="E52" i="1"/>
  <c r="F52" i="1"/>
  <c r="G52" i="1"/>
  <c r="H52" i="1"/>
  <c r="B52" i="1"/>
  <c r="C59" i="1"/>
  <c r="D59" i="1"/>
  <c r="E59" i="1"/>
  <c r="E62" i="1" s="1"/>
  <c r="F59" i="1"/>
  <c r="F62" i="1" s="1"/>
  <c r="G59" i="1"/>
  <c r="G62" i="1" s="1"/>
  <c r="H59" i="1"/>
  <c r="H62" i="1" s="1"/>
  <c r="B59" i="1"/>
  <c r="B62" i="1" s="1"/>
  <c r="C58" i="1"/>
  <c r="D58" i="1"/>
  <c r="E58" i="1"/>
  <c r="F58" i="1"/>
  <c r="G58" i="1"/>
  <c r="H58" i="1"/>
  <c r="D62" i="1" l="1"/>
  <c r="C62" i="1"/>
  <c r="P62" i="1"/>
  <c r="L62" i="1"/>
  <c r="M62" i="1"/>
  <c r="N62" i="1"/>
  <c r="O62" i="1"/>
  <c r="Q62" i="1"/>
  <c r="K62" i="1"/>
  <c r="H60" i="1"/>
  <c r="G60" i="1"/>
  <c r="B60" i="1"/>
  <c r="F60" i="1"/>
  <c r="E60" i="1"/>
  <c r="D60" i="1"/>
  <c r="C60" i="1"/>
  <c r="P60" i="1"/>
  <c r="Q60" i="1"/>
  <c r="K60" i="1"/>
  <c r="M60" i="1"/>
  <c r="L60" i="1"/>
  <c r="O60" i="1"/>
  <c r="N60" i="1"/>
</calcChain>
</file>

<file path=xl/sharedStrings.xml><?xml version="1.0" encoding="utf-8"?>
<sst xmlns="http://schemas.openxmlformats.org/spreadsheetml/2006/main" count="185" uniqueCount="35">
  <si>
    <t>original</t>
  </si>
  <si>
    <t>nomin</t>
  </si>
  <si>
    <t>butter</t>
  </si>
  <si>
    <t>swap</t>
  </si>
  <si>
    <t>flip</t>
  </si>
  <si>
    <t>inflection</t>
  </si>
  <si>
    <t>insertion</t>
  </si>
  <si>
    <t>substitution</t>
  </si>
  <si>
    <t>tense_past</t>
  </si>
  <si>
    <t>tense_future</t>
  </si>
  <si>
    <t>character-level</t>
  </si>
  <si>
    <t>word-level</t>
  </si>
  <si>
    <t>sentence level</t>
  </si>
  <si>
    <t>backtranslation</t>
  </si>
  <si>
    <t>mix_all_level</t>
  </si>
  <si>
    <t>p0</t>
  </si>
  <si>
    <t>p10</t>
  </si>
  <si>
    <t>p30</t>
  </si>
  <si>
    <t>p50</t>
  </si>
  <si>
    <t>p70</t>
  </si>
  <si>
    <t>p90</t>
  </si>
  <si>
    <t>p100</t>
  </si>
  <si>
    <t>half2</t>
  </si>
  <si>
    <t>half1</t>
  </si>
  <si>
    <t>double size</t>
  </si>
  <si>
    <t>triple size</t>
  </si>
  <si>
    <t>pass@1</t>
  </si>
  <si>
    <t>RD</t>
  </si>
  <si>
    <t>average nomin</t>
  </si>
  <si>
    <t>average mix</t>
  </si>
  <si>
    <t>Difference</t>
  </si>
  <si>
    <t>average Difference</t>
  </si>
  <si>
    <t>HumanEval</t>
  </si>
  <si>
    <t>MBPP</t>
  </si>
  <si>
    <t>HumanEval_Java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</si>
</sst>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1" TargetMode="External"/><Relationship Id="rId13" Type="http://schemas.openxmlformats.org/officeDocument/2006/relationships/hyperlink" Target="mailto:pass@1" TargetMode="External"/><Relationship Id="rId3" Type="http://schemas.openxmlformats.org/officeDocument/2006/relationships/hyperlink" Target="mailto:pass@1" TargetMode="External"/><Relationship Id="rId7" Type="http://schemas.openxmlformats.org/officeDocument/2006/relationships/hyperlink" Target="mailto:pass@1" TargetMode="External"/><Relationship Id="rId12" Type="http://schemas.openxmlformats.org/officeDocument/2006/relationships/hyperlink" Target="mailto:pass@1" TargetMode="External"/><Relationship Id="rId2" Type="http://schemas.openxmlformats.org/officeDocument/2006/relationships/hyperlink" Target="mailto:pass@1" TargetMode="External"/><Relationship Id="rId1" Type="http://schemas.openxmlformats.org/officeDocument/2006/relationships/hyperlink" Target="mailto:pass@1" TargetMode="External"/><Relationship Id="rId6" Type="http://schemas.openxmlformats.org/officeDocument/2006/relationships/hyperlink" Target="mailto:pass@1" TargetMode="External"/><Relationship Id="rId11" Type="http://schemas.openxmlformats.org/officeDocument/2006/relationships/hyperlink" Target="mailto:pass@1" TargetMode="External"/><Relationship Id="rId5" Type="http://schemas.openxmlformats.org/officeDocument/2006/relationships/hyperlink" Target="mailto:pass@1" TargetMode="External"/><Relationship Id="rId10" Type="http://schemas.openxmlformats.org/officeDocument/2006/relationships/hyperlink" Target="mailto:pass@1" TargetMode="External"/><Relationship Id="rId4" Type="http://schemas.openxmlformats.org/officeDocument/2006/relationships/hyperlink" Target="mailto:pass@1" TargetMode="External"/><Relationship Id="rId9" Type="http://schemas.openxmlformats.org/officeDocument/2006/relationships/hyperlink" Target="mailto:pass@1" TargetMode="External"/><Relationship Id="rId14" Type="http://schemas.openxmlformats.org/officeDocument/2006/relationships/hyperlink" Target="mailto:pass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D5DE-9DD2-6149-854F-3CF3B9A0B7CE}">
  <dimension ref="A1:Z68"/>
  <sheetViews>
    <sheetView tabSelected="1" workbookViewId="0">
      <selection sqref="A1:XFD1"/>
    </sheetView>
  </sheetViews>
  <sheetFormatPr baseColWidth="10" defaultRowHeight="16" x14ac:dyDescent="0.2"/>
  <cols>
    <col min="1" max="1" width="13.6640625" bestFit="1" customWidth="1"/>
    <col min="4" max="4" width="13.6640625" bestFit="1" customWidth="1"/>
    <col min="6" max="6" width="12.6640625" bestFit="1" customWidth="1"/>
    <col min="7" max="7" width="11.5" bestFit="1" customWidth="1"/>
    <col min="8" max="8" width="11.5" customWidth="1"/>
    <col min="10" max="10" width="13.6640625" bestFit="1" customWidth="1"/>
    <col min="13" max="13" width="13.83203125" bestFit="1" customWidth="1"/>
    <col min="14" max="14" width="10" bestFit="1" customWidth="1"/>
    <col min="15" max="15" width="12.83203125" bestFit="1" customWidth="1"/>
  </cols>
  <sheetData>
    <row r="1" spans="1:26" x14ac:dyDescent="0.2">
      <c r="A1" s="3" t="s">
        <v>32</v>
      </c>
      <c r="B1" s="3"/>
      <c r="C1" s="3"/>
      <c r="D1" s="3"/>
      <c r="E1" s="3"/>
      <c r="F1" s="3"/>
      <c r="G1" s="3"/>
      <c r="H1" s="3"/>
      <c r="J1" s="3" t="s">
        <v>33</v>
      </c>
      <c r="K1" s="3"/>
      <c r="L1" s="3"/>
      <c r="M1" s="3"/>
      <c r="N1" s="3"/>
      <c r="O1" s="3"/>
      <c r="P1" s="3"/>
      <c r="Q1" s="3"/>
      <c r="S1" s="3" t="s">
        <v>34</v>
      </c>
      <c r="T1" s="3"/>
      <c r="U1" s="3"/>
      <c r="V1" s="3"/>
      <c r="W1" s="3"/>
      <c r="X1" s="3"/>
      <c r="Y1" s="3"/>
      <c r="Z1" s="3"/>
    </row>
    <row r="2" spans="1:26" x14ac:dyDescent="0.2">
      <c r="A2" s="2" t="s">
        <v>26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J2" s="2" t="s">
        <v>26</v>
      </c>
      <c r="K2" t="s">
        <v>0</v>
      </c>
      <c r="L2" t="s">
        <v>1</v>
      </c>
      <c r="M2" t="s">
        <v>2</v>
      </c>
      <c r="N2" t="s">
        <v>3</v>
      </c>
      <c r="O2" t="s">
        <v>4</v>
      </c>
    </row>
    <row r="3" spans="1:26" x14ac:dyDescent="0.2">
      <c r="A3" t="s">
        <v>1</v>
      </c>
      <c r="B3">
        <v>28.7</v>
      </c>
      <c r="C3">
        <v>35.4</v>
      </c>
      <c r="D3">
        <v>35.200000000000003</v>
      </c>
      <c r="E3">
        <v>36.200000000000003</v>
      </c>
      <c r="F3">
        <v>36.299999999999997</v>
      </c>
      <c r="J3" t="s">
        <v>1</v>
      </c>
      <c r="K3">
        <v>51.2</v>
      </c>
      <c r="L3">
        <v>52.1</v>
      </c>
      <c r="M3">
        <v>53.1</v>
      </c>
      <c r="N3">
        <v>51.9</v>
      </c>
      <c r="O3">
        <v>51.5</v>
      </c>
    </row>
    <row r="4" spans="1:26" x14ac:dyDescent="0.2">
      <c r="A4" t="s">
        <v>2</v>
      </c>
      <c r="B4">
        <v>4</v>
      </c>
      <c r="C4">
        <v>31.4</v>
      </c>
      <c r="D4">
        <v>33.200000000000003</v>
      </c>
      <c r="E4">
        <v>31.2</v>
      </c>
      <c r="F4">
        <v>31</v>
      </c>
      <c r="J4" t="s">
        <v>2</v>
      </c>
      <c r="K4">
        <v>46.7</v>
      </c>
      <c r="L4">
        <v>47</v>
      </c>
      <c r="M4">
        <v>48.3</v>
      </c>
      <c r="N4">
        <v>48.3</v>
      </c>
      <c r="O4">
        <v>44.6</v>
      </c>
    </row>
    <row r="5" spans="1:26" x14ac:dyDescent="0.2">
      <c r="A5" t="s">
        <v>3</v>
      </c>
      <c r="B5">
        <v>3.7</v>
      </c>
      <c r="C5">
        <v>31.8</v>
      </c>
      <c r="D5">
        <v>35</v>
      </c>
      <c r="E5">
        <v>31.7</v>
      </c>
      <c r="F5">
        <v>33</v>
      </c>
      <c r="J5" t="s">
        <v>3</v>
      </c>
      <c r="K5">
        <v>47.2</v>
      </c>
      <c r="L5">
        <v>46.9</v>
      </c>
      <c r="M5">
        <v>48</v>
      </c>
      <c r="N5">
        <v>46.9</v>
      </c>
      <c r="O5">
        <v>45.1</v>
      </c>
    </row>
    <row r="6" spans="1:26" x14ac:dyDescent="0.2">
      <c r="A6" t="s">
        <v>4</v>
      </c>
      <c r="B6">
        <v>3.5</v>
      </c>
      <c r="C6">
        <v>25</v>
      </c>
      <c r="D6">
        <v>27.3</v>
      </c>
      <c r="E6">
        <v>27.9</v>
      </c>
      <c r="F6">
        <v>30.5</v>
      </c>
      <c r="J6" t="s">
        <v>4</v>
      </c>
      <c r="K6">
        <v>44.8</v>
      </c>
      <c r="L6">
        <v>43.4</v>
      </c>
      <c r="M6">
        <v>41.5</v>
      </c>
      <c r="N6">
        <v>45.2</v>
      </c>
      <c r="O6">
        <v>45.9</v>
      </c>
    </row>
    <row r="7" spans="1:26" x14ac:dyDescent="0.2">
      <c r="A7" t="s">
        <v>27</v>
      </c>
      <c r="J7" t="s">
        <v>27</v>
      </c>
    </row>
    <row r="8" spans="1:26" x14ac:dyDescent="0.2">
      <c r="A8" t="s">
        <v>2</v>
      </c>
      <c r="B8">
        <f>1-B4/B3</f>
        <v>0.86062717770034847</v>
      </c>
      <c r="C8">
        <f t="shared" ref="C8:F8" si="0">1-C4/C3</f>
        <v>0.11299435028248583</v>
      </c>
      <c r="D8">
        <f t="shared" si="0"/>
        <v>5.6818181818181768E-2</v>
      </c>
      <c r="E8">
        <f t="shared" si="0"/>
        <v>0.13812154696132606</v>
      </c>
      <c r="F8">
        <f t="shared" si="0"/>
        <v>0.1460055096418732</v>
      </c>
      <c r="J8" t="s">
        <v>2</v>
      </c>
      <c r="K8">
        <f t="shared" ref="K8:O8" si="1">1-K4/K3</f>
        <v>8.7890625E-2</v>
      </c>
      <c r="L8">
        <f t="shared" si="1"/>
        <v>9.7888675623800436E-2</v>
      </c>
      <c r="M8">
        <f t="shared" si="1"/>
        <v>9.0395480225988756E-2</v>
      </c>
      <c r="N8">
        <f t="shared" si="1"/>
        <v>6.9364161849711059E-2</v>
      </c>
      <c r="O8">
        <f t="shared" si="1"/>
        <v>0.13398058252427181</v>
      </c>
    </row>
    <row r="9" spans="1:26" x14ac:dyDescent="0.2">
      <c r="A9" t="s">
        <v>3</v>
      </c>
      <c r="B9">
        <f>1-B5/B3</f>
        <v>0.87108013937282225</v>
      </c>
      <c r="C9">
        <f t="shared" ref="C9:F9" si="2">1-C5/C3</f>
        <v>0.10169491525423724</v>
      </c>
      <c r="D9">
        <f t="shared" si="2"/>
        <v>5.6818181818182323E-3</v>
      </c>
      <c r="E9">
        <f t="shared" si="2"/>
        <v>0.12430939226519344</v>
      </c>
      <c r="F9">
        <f t="shared" si="2"/>
        <v>9.0909090909090828E-2</v>
      </c>
      <c r="J9" t="s">
        <v>3</v>
      </c>
      <c r="K9">
        <f t="shared" ref="K9:O9" si="3">1-K5/K3</f>
        <v>7.8125E-2</v>
      </c>
      <c r="L9">
        <f t="shared" si="3"/>
        <v>9.9808061420345595E-2</v>
      </c>
      <c r="M9">
        <f t="shared" si="3"/>
        <v>9.6045197740112997E-2</v>
      </c>
      <c r="N9">
        <f t="shared" si="3"/>
        <v>9.6339113680154131E-2</v>
      </c>
      <c r="O9">
        <f t="shared" si="3"/>
        <v>0.12427184466019414</v>
      </c>
    </row>
    <row r="10" spans="1:26" x14ac:dyDescent="0.2">
      <c r="A10" t="s">
        <v>4</v>
      </c>
      <c r="B10">
        <f>1-B6/B3</f>
        <v>0.87804878048780488</v>
      </c>
      <c r="C10">
        <f t="shared" ref="C10:F10" si="4">1-C6/C3</f>
        <v>0.29378531073446323</v>
      </c>
      <c r="D10">
        <f t="shared" si="4"/>
        <v>0.22443181818181823</v>
      </c>
      <c r="E10">
        <f t="shared" si="4"/>
        <v>0.22928176795580124</v>
      </c>
      <c r="F10">
        <f t="shared" si="4"/>
        <v>0.15977961432506882</v>
      </c>
      <c r="J10" t="s">
        <v>4</v>
      </c>
      <c r="K10">
        <f t="shared" ref="K10:O10" si="5">1-K6/K3</f>
        <v>0.12500000000000011</v>
      </c>
      <c r="L10">
        <f t="shared" si="5"/>
        <v>0.16698656429942427</v>
      </c>
      <c r="M10">
        <f t="shared" si="5"/>
        <v>0.21845574387947275</v>
      </c>
      <c r="N10">
        <f t="shared" si="5"/>
        <v>0.12909441233140651</v>
      </c>
      <c r="O10">
        <f t="shared" si="5"/>
        <v>0.10873786407766994</v>
      </c>
    </row>
    <row r="12" spans="1:26" x14ac:dyDescent="0.2">
      <c r="A12" s="2" t="s">
        <v>26</v>
      </c>
      <c r="B12" t="s">
        <v>0</v>
      </c>
      <c r="C12" t="s">
        <v>1</v>
      </c>
      <c r="D12" t="s">
        <v>5</v>
      </c>
      <c r="E12" t="s">
        <v>6</v>
      </c>
      <c r="F12" t="s">
        <v>7</v>
      </c>
      <c r="J12" s="2" t="s">
        <v>26</v>
      </c>
      <c r="K12" t="s">
        <v>0</v>
      </c>
      <c r="L12" t="s">
        <v>1</v>
      </c>
      <c r="M12" t="s">
        <v>5</v>
      </c>
      <c r="N12" t="s">
        <v>6</v>
      </c>
      <c r="O12" t="s">
        <v>7</v>
      </c>
    </row>
    <row r="13" spans="1:26" x14ac:dyDescent="0.2">
      <c r="A13" t="s">
        <v>1</v>
      </c>
      <c r="B13">
        <v>28.7</v>
      </c>
      <c r="C13">
        <v>35.4</v>
      </c>
      <c r="D13">
        <v>33.1</v>
      </c>
      <c r="E13">
        <v>33</v>
      </c>
      <c r="F13">
        <v>34.9</v>
      </c>
      <c r="J13" t="s">
        <v>1</v>
      </c>
      <c r="K13">
        <v>51.2</v>
      </c>
      <c r="L13">
        <v>52.1</v>
      </c>
      <c r="M13">
        <v>52.4</v>
      </c>
      <c r="N13">
        <v>51.7</v>
      </c>
      <c r="O13">
        <v>50.5</v>
      </c>
    </row>
    <row r="14" spans="1:26" x14ac:dyDescent="0.2">
      <c r="A14" t="s">
        <v>5</v>
      </c>
      <c r="B14">
        <v>4</v>
      </c>
      <c r="C14">
        <v>30.2</v>
      </c>
      <c r="D14">
        <v>32.200000000000003</v>
      </c>
      <c r="E14">
        <v>31.1</v>
      </c>
      <c r="F14">
        <v>31.7</v>
      </c>
      <c r="J14" t="s">
        <v>5</v>
      </c>
      <c r="K14">
        <v>47</v>
      </c>
      <c r="L14">
        <v>46.1</v>
      </c>
      <c r="M14">
        <v>48.6</v>
      </c>
      <c r="N14">
        <v>46.1</v>
      </c>
      <c r="O14">
        <v>47</v>
      </c>
    </row>
    <row r="15" spans="1:26" x14ac:dyDescent="0.2">
      <c r="A15" t="s">
        <v>6</v>
      </c>
      <c r="B15">
        <v>3.3</v>
      </c>
      <c r="C15">
        <v>24.4</v>
      </c>
      <c r="D15">
        <v>20.8</v>
      </c>
      <c r="E15">
        <v>23.3</v>
      </c>
      <c r="F15">
        <v>23.2</v>
      </c>
      <c r="J15" t="s">
        <v>6</v>
      </c>
      <c r="K15">
        <v>45.4</v>
      </c>
      <c r="L15">
        <v>46.4</v>
      </c>
      <c r="M15">
        <v>49.2</v>
      </c>
      <c r="N15">
        <v>49.9</v>
      </c>
      <c r="O15">
        <v>50</v>
      </c>
    </row>
    <row r="16" spans="1:26" x14ac:dyDescent="0.2">
      <c r="A16" t="s">
        <v>7</v>
      </c>
      <c r="B16">
        <v>3.7</v>
      </c>
      <c r="C16">
        <v>22.5</v>
      </c>
      <c r="D16">
        <v>20.7</v>
      </c>
      <c r="E16">
        <v>22.3</v>
      </c>
      <c r="F16">
        <v>22.6</v>
      </c>
      <c r="J16" t="s">
        <v>7</v>
      </c>
      <c r="K16">
        <v>42.9</v>
      </c>
      <c r="L16">
        <v>44.7</v>
      </c>
      <c r="M16">
        <v>44.4</v>
      </c>
      <c r="N16">
        <v>46</v>
      </c>
      <c r="O16">
        <v>43.7</v>
      </c>
    </row>
    <row r="17" spans="1:16" x14ac:dyDescent="0.2">
      <c r="A17" t="s">
        <v>27</v>
      </c>
      <c r="J17" t="s">
        <v>27</v>
      </c>
    </row>
    <row r="18" spans="1:16" x14ac:dyDescent="0.2">
      <c r="A18" t="s">
        <v>5</v>
      </c>
      <c r="B18">
        <f>1-B14/B13</f>
        <v>0.86062717770034847</v>
      </c>
      <c r="C18">
        <f t="shared" ref="C18:F18" si="6">1-C14/C13</f>
        <v>0.14689265536723162</v>
      </c>
      <c r="D18">
        <f t="shared" si="6"/>
        <v>2.7190332326283984E-2</v>
      </c>
      <c r="E18">
        <f t="shared" si="6"/>
        <v>5.7575757575757502E-2</v>
      </c>
      <c r="F18">
        <f t="shared" si="6"/>
        <v>9.1690544412607489E-2</v>
      </c>
      <c r="J18" t="s">
        <v>5</v>
      </c>
      <c r="K18">
        <f t="shared" ref="K18:O18" si="7">1-K14/K13</f>
        <v>8.203125E-2</v>
      </c>
      <c r="L18">
        <f t="shared" si="7"/>
        <v>0.11516314779270631</v>
      </c>
      <c r="M18">
        <f t="shared" si="7"/>
        <v>7.2519083969465603E-2</v>
      </c>
      <c r="N18">
        <f t="shared" si="7"/>
        <v>0.1083172147001934</v>
      </c>
      <c r="O18">
        <f t="shared" si="7"/>
        <v>6.9306930693069257E-2</v>
      </c>
    </row>
    <row r="19" spans="1:16" x14ac:dyDescent="0.2">
      <c r="A19" t="s">
        <v>6</v>
      </c>
      <c r="B19">
        <f>1-B15/B13</f>
        <v>0.88501742160278751</v>
      </c>
      <c r="C19">
        <f t="shared" ref="C19:F19" si="8">1-C15/C13</f>
        <v>0.31073446327683618</v>
      </c>
      <c r="D19">
        <f t="shared" si="8"/>
        <v>0.37160120845921452</v>
      </c>
      <c r="E19">
        <f t="shared" si="8"/>
        <v>0.29393939393939394</v>
      </c>
      <c r="F19">
        <f t="shared" si="8"/>
        <v>0.33524355300859598</v>
      </c>
      <c r="J19" t="s">
        <v>6</v>
      </c>
      <c r="K19">
        <f t="shared" ref="K19:O19" si="9">1-K15/K13</f>
        <v>0.11328125000000011</v>
      </c>
      <c r="L19">
        <f t="shared" si="9"/>
        <v>0.10940499040307106</v>
      </c>
      <c r="M19">
        <f t="shared" si="9"/>
        <v>6.1068702290076216E-2</v>
      </c>
      <c r="N19">
        <f t="shared" si="9"/>
        <v>3.481624758220514E-2</v>
      </c>
      <c r="O19">
        <f t="shared" si="9"/>
        <v>9.9009900990099098E-3</v>
      </c>
    </row>
    <row r="20" spans="1:16" x14ac:dyDescent="0.2">
      <c r="A20" t="s">
        <v>7</v>
      </c>
      <c r="B20">
        <f>1-B16/B13</f>
        <v>0.87108013937282225</v>
      </c>
      <c r="C20">
        <f t="shared" ref="C20:F20" si="10">1-C16/C13</f>
        <v>0.36440677966101698</v>
      </c>
      <c r="D20">
        <f t="shared" si="10"/>
        <v>0.37462235649546838</v>
      </c>
      <c r="E20">
        <f t="shared" si="10"/>
        <v>0.32424242424242422</v>
      </c>
      <c r="F20">
        <f t="shared" si="10"/>
        <v>0.35243553008595985</v>
      </c>
      <c r="J20" t="s">
        <v>7</v>
      </c>
      <c r="K20">
        <f t="shared" ref="K20:O20" si="11">1-K16/K13</f>
        <v>0.16210937500000011</v>
      </c>
      <c r="L20">
        <f t="shared" si="11"/>
        <v>0.14203454894433776</v>
      </c>
      <c r="M20">
        <f t="shared" si="11"/>
        <v>0.15267175572519087</v>
      </c>
      <c r="N20">
        <f t="shared" si="11"/>
        <v>0.11025145067698261</v>
      </c>
      <c r="O20">
        <f t="shared" si="11"/>
        <v>0.13465346534653455</v>
      </c>
    </row>
    <row r="22" spans="1:16" x14ac:dyDescent="0.2">
      <c r="A22" s="2" t="s">
        <v>26</v>
      </c>
      <c r="B22" t="s">
        <v>0</v>
      </c>
      <c r="C22" t="s">
        <v>1</v>
      </c>
      <c r="D22" t="s">
        <v>13</v>
      </c>
      <c r="E22" t="s">
        <v>8</v>
      </c>
      <c r="F22" t="s">
        <v>9</v>
      </c>
      <c r="J22" s="2" t="s">
        <v>26</v>
      </c>
      <c r="K22" t="s">
        <v>0</v>
      </c>
      <c r="L22" t="s">
        <v>1</v>
      </c>
      <c r="M22" t="s">
        <v>13</v>
      </c>
      <c r="N22" t="s">
        <v>8</v>
      </c>
      <c r="O22" t="s">
        <v>9</v>
      </c>
    </row>
    <row r="23" spans="1:16" x14ac:dyDescent="0.2">
      <c r="A23" t="s">
        <v>1</v>
      </c>
      <c r="B23">
        <v>28.7</v>
      </c>
      <c r="C23">
        <v>35.4</v>
      </c>
      <c r="D23">
        <v>31.7</v>
      </c>
      <c r="E23">
        <v>30.3</v>
      </c>
      <c r="F23">
        <v>29.6</v>
      </c>
      <c r="J23" t="s">
        <v>1</v>
      </c>
      <c r="K23">
        <v>51.2</v>
      </c>
      <c r="L23">
        <v>52.1</v>
      </c>
      <c r="M23">
        <v>50.5</v>
      </c>
      <c r="N23">
        <v>51.2</v>
      </c>
      <c r="O23">
        <v>50.6</v>
      </c>
    </row>
    <row r="24" spans="1:16" x14ac:dyDescent="0.2">
      <c r="A24" t="s">
        <v>13</v>
      </c>
      <c r="B24">
        <v>4.0999999999999996</v>
      </c>
      <c r="C24">
        <v>32.200000000000003</v>
      </c>
      <c r="D24">
        <v>30.2</v>
      </c>
      <c r="E24">
        <v>30.3</v>
      </c>
      <c r="F24">
        <v>27.3</v>
      </c>
      <c r="J24" t="s">
        <v>13</v>
      </c>
      <c r="K24">
        <v>47.3</v>
      </c>
      <c r="L24">
        <v>49</v>
      </c>
      <c r="M24">
        <v>46.2</v>
      </c>
      <c r="N24">
        <v>48.1</v>
      </c>
      <c r="O24">
        <v>47.9</v>
      </c>
    </row>
    <row r="25" spans="1:16" x14ac:dyDescent="0.2">
      <c r="A25" t="s">
        <v>8</v>
      </c>
      <c r="B25">
        <v>3.4</v>
      </c>
      <c r="C25">
        <v>31.4</v>
      </c>
      <c r="D25">
        <v>30.4</v>
      </c>
      <c r="E25">
        <v>30.7</v>
      </c>
      <c r="F25">
        <v>32.4</v>
      </c>
      <c r="J25" t="s">
        <v>8</v>
      </c>
      <c r="K25">
        <v>47.1</v>
      </c>
      <c r="L25">
        <v>49.2</v>
      </c>
      <c r="M25">
        <v>47.9</v>
      </c>
      <c r="N25">
        <v>48.2</v>
      </c>
      <c r="O25">
        <v>49.5</v>
      </c>
    </row>
    <row r="26" spans="1:16" x14ac:dyDescent="0.2">
      <c r="A26" t="s">
        <v>9</v>
      </c>
      <c r="B26">
        <v>3.4</v>
      </c>
      <c r="C26">
        <v>31.4</v>
      </c>
      <c r="D26">
        <v>30.4</v>
      </c>
      <c r="E26">
        <v>30.7</v>
      </c>
      <c r="F26">
        <v>32.4</v>
      </c>
      <c r="J26" t="s">
        <v>9</v>
      </c>
      <c r="K26">
        <v>47.1</v>
      </c>
      <c r="L26">
        <v>49.1</v>
      </c>
      <c r="M26">
        <v>48</v>
      </c>
      <c r="N26">
        <v>48.1</v>
      </c>
      <c r="O26">
        <v>49.4</v>
      </c>
    </row>
    <row r="27" spans="1:16" x14ac:dyDescent="0.2">
      <c r="A27" t="s">
        <v>27</v>
      </c>
      <c r="J27" t="s">
        <v>27</v>
      </c>
    </row>
    <row r="28" spans="1:16" x14ac:dyDescent="0.2">
      <c r="A28" t="s">
        <v>13</v>
      </c>
      <c r="B28">
        <f>1-B24/B23</f>
        <v>0.85714285714285721</v>
      </c>
      <c r="C28">
        <f t="shared" ref="C28:F28" si="12">1-C24/C23</f>
        <v>9.0395480225988534E-2</v>
      </c>
      <c r="D28">
        <f t="shared" si="12"/>
        <v>4.7318611987381742E-2</v>
      </c>
      <c r="E28">
        <f t="shared" si="12"/>
        <v>0</v>
      </c>
      <c r="F28">
        <f t="shared" si="12"/>
        <v>7.7702702702702742E-2</v>
      </c>
      <c r="J28" t="s">
        <v>13</v>
      </c>
      <c r="K28">
        <f t="shared" ref="K28:O28" si="13">1-K24/K23</f>
        <v>7.6171875000000111E-2</v>
      </c>
      <c r="L28">
        <f t="shared" si="13"/>
        <v>5.9500959692898259E-2</v>
      </c>
      <c r="M28">
        <f t="shared" si="13"/>
        <v>8.5148514851485113E-2</v>
      </c>
      <c r="N28">
        <f t="shared" si="13"/>
        <v>6.0546875E-2</v>
      </c>
      <c r="O28">
        <f t="shared" si="13"/>
        <v>5.3359683794466428E-2</v>
      </c>
    </row>
    <row r="29" spans="1:16" x14ac:dyDescent="0.2">
      <c r="A29" t="s">
        <v>8</v>
      </c>
      <c r="B29">
        <f>1-B25/B23</f>
        <v>0.88153310104529614</v>
      </c>
      <c r="C29">
        <f t="shared" ref="C29:F29" si="14">1-C25/C23</f>
        <v>0.11299435028248583</v>
      </c>
      <c r="D29">
        <f t="shared" si="14"/>
        <v>4.1009463722397554E-2</v>
      </c>
      <c r="E29">
        <f t="shared" si="14"/>
        <v>-1.3201320132013139E-2</v>
      </c>
      <c r="F29">
        <f t="shared" si="14"/>
        <v>-9.4594594594594517E-2</v>
      </c>
      <c r="J29" t="s">
        <v>8</v>
      </c>
      <c r="K29">
        <f t="shared" ref="K29:O29" si="15">1-K25/K23</f>
        <v>8.0078125E-2</v>
      </c>
      <c r="L29">
        <f t="shared" si="15"/>
        <v>5.5662188099808052E-2</v>
      </c>
      <c r="M29">
        <f t="shared" si="15"/>
        <v>5.1485148514851531E-2</v>
      </c>
      <c r="N29">
        <f t="shared" si="15"/>
        <v>5.859375E-2</v>
      </c>
      <c r="O29">
        <f t="shared" si="15"/>
        <v>2.1739130434782594E-2</v>
      </c>
    </row>
    <row r="30" spans="1:16" x14ac:dyDescent="0.2">
      <c r="A30" t="s">
        <v>9</v>
      </c>
      <c r="B30">
        <f>1-B26/B23</f>
        <v>0.88153310104529614</v>
      </c>
      <c r="C30">
        <f t="shared" ref="C30:F30" si="16">1-C26/C23</f>
        <v>0.11299435028248583</v>
      </c>
      <c r="D30">
        <f t="shared" si="16"/>
        <v>4.1009463722397554E-2</v>
      </c>
      <c r="E30">
        <f t="shared" si="16"/>
        <v>-1.3201320132013139E-2</v>
      </c>
      <c r="F30">
        <f t="shared" si="16"/>
        <v>-9.4594594594594517E-2</v>
      </c>
      <c r="J30" t="s">
        <v>9</v>
      </c>
      <c r="K30">
        <f t="shared" ref="K30:O30" si="17">1-K26/K23</f>
        <v>8.0078125E-2</v>
      </c>
      <c r="L30">
        <f t="shared" si="17"/>
        <v>5.7581573896353211E-2</v>
      </c>
      <c r="M30">
        <f t="shared" si="17"/>
        <v>4.9504950495049549E-2</v>
      </c>
      <c r="N30">
        <f t="shared" si="17"/>
        <v>6.0546875E-2</v>
      </c>
      <c r="O30">
        <f t="shared" si="17"/>
        <v>2.3715415019762931E-2</v>
      </c>
    </row>
    <row r="32" spans="1:16" x14ac:dyDescent="0.2">
      <c r="A32" s="2" t="s">
        <v>26</v>
      </c>
      <c r="B32" t="s">
        <v>0</v>
      </c>
      <c r="C32" t="s">
        <v>1</v>
      </c>
      <c r="D32" t="s">
        <v>10</v>
      </c>
      <c r="E32" t="s">
        <v>11</v>
      </c>
      <c r="F32" t="s">
        <v>12</v>
      </c>
      <c r="G32" t="s">
        <v>14</v>
      </c>
      <c r="J32" s="2" t="s">
        <v>26</v>
      </c>
      <c r="K32" t="s">
        <v>0</v>
      </c>
      <c r="L32" t="s">
        <v>1</v>
      </c>
      <c r="M32" t="s">
        <v>10</v>
      </c>
      <c r="N32" t="s">
        <v>11</v>
      </c>
      <c r="O32" t="s">
        <v>12</v>
      </c>
      <c r="P32" t="s">
        <v>14</v>
      </c>
    </row>
    <row r="33" spans="1:17" x14ac:dyDescent="0.2">
      <c r="A33" t="s">
        <v>1</v>
      </c>
      <c r="B33">
        <v>28.7</v>
      </c>
      <c r="C33">
        <v>35.4</v>
      </c>
      <c r="D33">
        <v>32</v>
      </c>
      <c r="E33">
        <v>30</v>
      </c>
      <c r="F33">
        <v>35.9</v>
      </c>
      <c r="G33">
        <v>33</v>
      </c>
      <c r="J33" t="s">
        <v>1</v>
      </c>
      <c r="K33">
        <v>51.2</v>
      </c>
      <c r="L33">
        <v>52.1</v>
      </c>
      <c r="M33">
        <v>51</v>
      </c>
      <c r="N33">
        <v>52.3</v>
      </c>
      <c r="O33">
        <v>51.7</v>
      </c>
      <c r="P33">
        <v>48.7</v>
      </c>
    </row>
    <row r="34" spans="1:17" x14ac:dyDescent="0.2">
      <c r="A34" t="s">
        <v>10</v>
      </c>
      <c r="B34">
        <v>3.5</v>
      </c>
      <c r="C34">
        <v>28.8</v>
      </c>
      <c r="D34">
        <v>27.5</v>
      </c>
      <c r="E34">
        <v>28.6</v>
      </c>
      <c r="F34">
        <v>26.3</v>
      </c>
      <c r="G34">
        <v>32.200000000000003</v>
      </c>
      <c r="J34" t="s">
        <v>10</v>
      </c>
      <c r="K34">
        <v>46.7</v>
      </c>
      <c r="L34">
        <v>45</v>
      </c>
      <c r="M34">
        <v>44.8</v>
      </c>
      <c r="N34">
        <v>46.1</v>
      </c>
      <c r="O34">
        <v>46.5</v>
      </c>
      <c r="P34">
        <v>46</v>
      </c>
    </row>
    <row r="35" spans="1:17" x14ac:dyDescent="0.2">
      <c r="A35" t="s">
        <v>11</v>
      </c>
      <c r="B35">
        <v>2.9</v>
      </c>
      <c r="C35">
        <v>28.6</v>
      </c>
      <c r="D35">
        <v>25.5</v>
      </c>
      <c r="E35">
        <v>25.4</v>
      </c>
      <c r="F35">
        <v>26.8</v>
      </c>
      <c r="G35">
        <v>28.3</v>
      </c>
      <c r="J35" t="s">
        <v>11</v>
      </c>
      <c r="K35">
        <v>45.4</v>
      </c>
      <c r="L35">
        <v>45.1</v>
      </c>
      <c r="M35">
        <v>43.2</v>
      </c>
      <c r="N35">
        <v>48.7</v>
      </c>
      <c r="O35">
        <v>47.8</v>
      </c>
      <c r="P35">
        <v>45.3</v>
      </c>
    </row>
    <row r="36" spans="1:17" x14ac:dyDescent="0.2">
      <c r="A36" t="s">
        <v>12</v>
      </c>
      <c r="B36">
        <v>3.6</v>
      </c>
      <c r="C36">
        <v>32.200000000000003</v>
      </c>
      <c r="D36">
        <v>28.2</v>
      </c>
      <c r="E36">
        <v>29.7</v>
      </c>
      <c r="F36">
        <v>30.1</v>
      </c>
      <c r="G36">
        <v>30</v>
      </c>
      <c r="J36" t="s">
        <v>12</v>
      </c>
      <c r="K36">
        <v>46.9</v>
      </c>
      <c r="L36">
        <v>48.7</v>
      </c>
      <c r="M36">
        <v>47.9</v>
      </c>
      <c r="N36">
        <v>50.6</v>
      </c>
      <c r="O36">
        <v>49.2</v>
      </c>
      <c r="P36">
        <v>48.5</v>
      </c>
    </row>
    <row r="37" spans="1:17" x14ac:dyDescent="0.2">
      <c r="A37" t="s">
        <v>14</v>
      </c>
      <c r="B37">
        <v>3.2</v>
      </c>
      <c r="C37">
        <v>25.4</v>
      </c>
      <c r="D37">
        <v>27.5</v>
      </c>
      <c r="E37">
        <v>28.6</v>
      </c>
      <c r="F37">
        <v>30.2</v>
      </c>
      <c r="G37">
        <v>29.3</v>
      </c>
      <c r="J37" t="s">
        <v>14</v>
      </c>
      <c r="K37">
        <v>46.5</v>
      </c>
      <c r="L37">
        <v>47.4</v>
      </c>
      <c r="M37">
        <v>44</v>
      </c>
      <c r="N37">
        <v>47.5</v>
      </c>
      <c r="O37">
        <v>46.9</v>
      </c>
      <c r="P37">
        <v>46</v>
      </c>
    </row>
    <row r="38" spans="1:17" x14ac:dyDescent="0.2">
      <c r="A38" t="s">
        <v>27</v>
      </c>
      <c r="J38" t="s">
        <v>27</v>
      </c>
    </row>
    <row r="39" spans="1:17" x14ac:dyDescent="0.2">
      <c r="A39" t="s">
        <v>10</v>
      </c>
      <c r="B39">
        <f>1-B34/B33</f>
        <v>0.87804878048780488</v>
      </c>
      <c r="C39">
        <f t="shared" ref="C39:G39" si="18">1-C34/C33</f>
        <v>0.18644067796610164</v>
      </c>
      <c r="D39">
        <f t="shared" si="18"/>
        <v>0.140625</v>
      </c>
      <c r="E39">
        <f t="shared" si="18"/>
        <v>4.6666666666666634E-2</v>
      </c>
      <c r="F39">
        <f t="shared" si="18"/>
        <v>0.2674094707520891</v>
      </c>
      <c r="G39">
        <f t="shared" si="18"/>
        <v>2.4242424242424176E-2</v>
      </c>
      <c r="J39" t="s">
        <v>10</v>
      </c>
      <c r="K39">
        <f t="shared" ref="K39:P39" si="19">1-K34/K33</f>
        <v>8.7890625E-2</v>
      </c>
      <c r="L39">
        <f t="shared" si="19"/>
        <v>0.1362763915547025</v>
      </c>
      <c r="M39">
        <f t="shared" si="19"/>
        <v>0.1215686274509804</v>
      </c>
      <c r="N39">
        <f t="shared" si="19"/>
        <v>0.11854684512428293</v>
      </c>
      <c r="O39">
        <f t="shared" si="19"/>
        <v>0.10058027079303677</v>
      </c>
      <c r="P39">
        <f t="shared" si="19"/>
        <v>5.5441478439425151E-2</v>
      </c>
    </row>
    <row r="40" spans="1:17" x14ac:dyDescent="0.2">
      <c r="A40" t="s">
        <v>11</v>
      </c>
      <c r="B40">
        <f>1-B35/B33</f>
        <v>0.89895470383275256</v>
      </c>
      <c r="C40">
        <f t="shared" ref="C40:G40" si="20">1-C35/C33</f>
        <v>0.19209039548022588</v>
      </c>
      <c r="D40">
        <f t="shared" si="20"/>
        <v>0.203125</v>
      </c>
      <c r="E40">
        <f t="shared" si="20"/>
        <v>0.15333333333333343</v>
      </c>
      <c r="F40">
        <f t="shared" si="20"/>
        <v>0.25348189415041777</v>
      </c>
      <c r="G40">
        <f t="shared" si="20"/>
        <v>0.14242424242424245</v>
      </c>
      <c r="J40" t="s">
        <v>11</v>
      </c>
      <c r="K40">
        <f t="shared" ref="K40:P40" si="21">1-K35/K33</f>
        <v>0.11328125000000011</v>
      </c>
      <c r="L40">
        <f t="shared" si="21"/>
        <v>0.13435700575815734</v>
      </c>
      <c r="M40">
        <f t="shared" si="21"/>
        <v>0.15294117647058814</v>
      </c>
      <c r="N40">
        <f t="shared" si="21"/>
        <v>6.8833652007648127E-2</v>
      </c>
      <c r="O40">
        <f t="shared" si="21"/>
        <v>7.5435203094777692E-2</v>
      </c>
      <c r="P40">
        <f t="shared" si="21"/>
        <v>6.981519507186873E-2</v>
      </c>
    </row>
    <row r="41" spans="1:17" x14ac:dyDescent="0.2">
      <c r="A41" t="s">
        <v>12</v>
      </c>
      <c r="B41">
        <f>1-B36/B33</f>
        <v>0.87456445993031362</v>
      </c>
      <c r="C41">
        <f t="shared" ref="C41:G41" si="22">1-C36/C33</f>
        <v>9.0395480225988534E-2</v>
      </c>
      <c r="D41">
        <f t="shared" si="22"/>
        <v>0.11875000000000002</v>
      </c>
      <c r="E41">
        <f t="shared" si="22"/>
        <v>1.0000000000000009E-2</v>
      </c>
      <c r="F41">
        <f t="shared" si="22"/>
        <v>0.16155988857938708</v>
      </c>
      <c r="G41">
        <f t="shared" si="22"/>
        <v>9.0909090909090939E-2</v>
      </c>
      <c r="J41" t="s">
        <v>12</v>
      </c>
      <c r="K41">
        <f t="shared" ref="K41:P41" si="23">1-K36/K33</f>
        <v>8.3984375000000111E-2</v>
      </c>
      <c r="L41">
        <f t="shared" si="23"/>
        <v>6.5259117082533513E-2</v>
      </c>
      <c r="M41">
        <f t="shared" si="23"/>
        <v>6.0784313725490202E-2</v>
      </c>
      <c r="N41">
        <f t="shared" si="23"/>
        <v>3.2504780114722687E-2</v>
      </c>
      <c r="O41">
        <f t="shared" si="23"/>
        <v>4.8355899419729176E-2</v>
      </c>
      <c r="P41">
        <f t="shared" si="23"/>
        <v>4.1067761806982128E-3</v>
      </c>
    </row>
    <row r="42" spans="1:17" x14ac:dyDescent="0.2">
      <c r="A42" t="s">
        <v>14</v>
      </c>
      <c r="B42">
        <f>1-B37/B33</f>
        <v>0.88850174216027877</v>
      </c>
      <c r="C42">
        <f t="shared" ref="C42:G42" si="24">1-C37/C33</f>
        <v>0.28248587570621475</v>
      </c>
      <c r="D42">
        <f t="shared" si="24"/>
        <v>0.140625</v>
      </c>
      <c r="E42">
        <f t="shared" si="24"/>
        <v>4.6666666666666634E-2</v>
      </c>
      <c r="F42">
        <f t="shared" si="24"/>
        <v>0.15877437325905286</v>
      </c>
      <c r="G42">
        <f t="shared" si="24"/>
        <v>0.11212121212121207</v>
      </c>
      <c r="J42" t="s">
        <v>14</v>
      </c>
      <c r="K42">
        <f t="shared" ref="K42:P42" si="25">1-K37/K33</f>
        <v>9.1796875E-2</v>
      </c>
      <c r="L42">
        <f t="shared" si="25"/>
        <v>9.0211132437620023E-2</v>
      </c>
      <c r="M42">
        <f t="shared" si="25"/>
        <v>0.13725490196078427</v>
      </c>
      <c r="N42">
        <f t="shared" si="25"/>
        <v>9.1778202676864207E-2</v>
      </c>
      <c r="O42">
        <f t="shared" si="25"/>
        <v>9.2843326885880151E-2</v>
      </c>
      <c r="P42">
        <f t="shared" si="25"/>
        <v>5.5441478439425151E-2</v>
      </c>
    </row>
    <row r="45" spans="1:17" x14ac:dyDescent="0.2">
      <c r="A45" s="2" t="s">
        <v>26</v>
      </c>
      <c r="B45" t="s">
        <v>15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21</v>
      </c>
      <c r="J45" s="2" t="s">
        <v>26</v>
      </c>
      <c r="K45" t="s">
        <v>15</v>
      </c>
      <c r="L45" t="s">
        <v>16</v>
      </c>
      <c r="M45" t="s">
        <v>17</v>
      </c>
      <c r="N45" t="s">
        <v>18</v>
      </c>
      <c r="O45" t="s">
        <v>19</v>
      </c>
      <c r="P45" t="s">
        <v>20</v>
      </c>
      <c r="Q45" t="s">
        <v>21</v>
      </c>
    </row>
    <row r="46" spans="1:17" x14ac:dyDescent="0.2">
      <c r="A46" t="s">
        <v>1</v>
      </c>
      <c r="B46">
        <v>35.4</v>
      </c>
      <c r="C46">
        <v>33.6</v>
      </c>
      <c r="D46">
        <v>31.6</v>
      </c>
      <c r="E46">
        <v>33.200000000000003</v>
      </c>
      <c r="F46">
        <v>33.799999999999997</v>
      </c>
      <c r="G46">
        <v>28.9</v>
      </c>
      <c r="H46">
        <v>33</v>
      </c>
      <c r="J46" t="s">
        <v>1</v>
      </c>
      <c r="K46">
        <v>52.1</v>
      </c>
      <c r="L46">
        <v>52.6</v>
      </c>
      <c r="M46">
        <v>52.7</v>
      </c>
      <c r="N46">
        <v>51.9</v>
      </c>
      <c r="O46">
        <v>52.2</v>
      </c>
      <c r="P46">
        <v>51.9</v>
      </c>
      <c r="Q46">
        <v>48.7</v>
      </c>
    </row>
    <row r="47" spans="1:17" x14ac:dyDescent="0.2">
      <c r="A47" t="s">
        <v>14</v>
      </c>
      <c r="B47">
        <v>25.4</v>
      </c>
      <c r="C47">
        <v>31</v>
      </c>
      <c r="D47">
        <v>27.1</v>
      </c>
      <c r="E47">
        <v>31.1</v>
      </c>
      <c r="F47">
        <v>32.700000000000003</v>
      </c>
      <c r="G47">
        <v>27.6</v>
      </c>
      <c r="H47">
        <v>29.3</v>
      </c>
      <c r="J47" t="s">
        <v>14</v>
      </c>
      <c r="K47">
        <v>47.4</v>
      </c>
      <c r="L47">
        <v>48.7</v>
      </c>
      <c r="M47">
        <v>48</v>
      </c>
      <c r="N47">
        <v>46</v>
      </c>
      <c r="O47">
        <v>46</v>
      </c>
      <c r="P47">
        <v>47.5</v>
      </c>
      <c r="Q47">
        <v>46</v>
      </c>
    </row>
    <row r="48" spans="1:17" x14ac:dyDescent="0.2">
      <c r="A48" t="s">
        <v>30</v>
      </c>
      <c r="B48">
        <f>B46-B47</f>
        <v>10</v>
      </c>
      <c r="C48">
        <f t="shared" ref="C48:H48" si="26">C46-C47</f>
        <v>2.6000000000000014</v>
      </c>
      <c r="D48">
        <f t="shared" si="26"/>
        <v>4.5</v>
      </c>
      <c r="E48">
        <f t="shared" si="26"/>
        <v>2.1000000000000014</v>
      </c>
      <c r="F48">
        <f t="shared" si="26"/>
        <v>1.0999999999999943</v>
      </c>
      <c r="G48">
        <f t="shared" si="26"/>
        <v>1.2999999999999972</v>
      </c>
      <c r="H48">
        <f t="shared" si="26"/>
        <v>3.6999999999999993</v>
      </c>
      <c r="J48" t="s">
        <v>30</v>
      </c>
      <c r="K48">
        <f>K46-K47</f>
        <v>4.7000000000000028</v>
      </c>
      <c r="L48">
        <f t="shared" ref="L48" si="27">L46-L47</f>
        <v>3.8999999999999986</v>
      </c>
      <c r="M48">
        <f t="shared" ref="M48" si="28">M46-M47</f>
        <v>4.7000000000000028</v>
      </c>
      <c r="N48">
        <f t="shared" ref="N48" si="29">N46-N47</f>
        <v>5.8999999999999986</v>
      </c>
      <c r="O48">
        <f t="shared" ref="O48" si="30">O46-O47</f>
        <v>6.2000000000000028</v>
      </c>
      <c r="P48">
        <f t="shared" ref="P48" si="31">P46-P47</f>
        <v>4.3999999999999986</v>
      </c>
      <c r="Q48">
        <f t="shared" ref="Q48" si="32">Q46-Q47</f>
        <v>2.7000000000000028</v>
      </c>
    </row>
    <row r="50" spans="1:17" x14ac:dyDescent="0.2">
      <c r="A50" t="s">
        <v>1</v>
      </c>
      <c r="B50">
        <v>35.4</v>
      </c>
      <c r="C50">
        <v>33</v>
      </c>
      <c r="D50">
        <v>32</v>
      </c>
      <c r="E50">
        <v>37.200000000000003</v>
      </c>
      <c r="F50">
        <v>34.799999999999997</v>
      </c>
      <c r="G50">
        <v>33.200000000000003</v>
      </c>
      <c r="H50">
        <v>33</v>
      </c>
      <c r="J50" t="s">
        <v>1</v>
      </c>
      <c r="K50">
        <v>52.1</v>
      </c>
      <c r="L50">
        <v>52.4</v>
      </c>
      <c r="M50">
        <v>48.8</v>
      </c>
      <c r="N50">
        <v>49.7</v>
      </c>
      <c r="O50">
        <v>51.9</v>
      </c>
      <c r="P50">
        <v>49</v>
      </c>
      <c r="Q50">
        <v>48.7</v>
      </c>
    </row>
    <row r="51" spans="1:17" x14ac:dyDescent="0.2">
      <c r="A51" t="s">
        <v>14</v>
      </c>
      <c r="B51">
        <v>25.4</v>
      </c>
      <c r="C51">
        <v>31.6</v>
      </c>
      <c r="D51">
        <v>28.8</v>
      </c>
      <c r="E51">
        <v>28.8</v>
      </c>
      <c r="F51">
        <v>32.700000000000003</v>
      </c>
      <c r="G51">
        <v>26.8</v>
      </c>
      <c r="H51">
        <v>29.3</v>
      </c>
      <c r="J51" t="s">
        <v>14</v>
      </c>
      <c r="K51">
        <v>47.4</v>
      </c>
      <c r="L51">
        <v>45.8</v>
      </c>
      <c r="M51">
        <v>44.9</v>
      </c>
      <c r="N51">
        <v>45.7</v>
      </c>
      <c r="O51">
        <v>46.4</v>
      </c>
      <c r="P51">
        <v>45.6</v>
      </c>
      <c r="Q51">
        <v>46</v>
      </c>
    </row>
    <row r="52" spans="1:17" x14ac:dyDescent="0.2">
      <c r="A52" t="s">
        <v>30</v>
      </c>
      <c r="B52">
        <f>B50-B51</f>
        <v>10</v>
      </c>
      <c r="C52">
        <f t="shared" ref="C52:H52" si="33">C50-C51</f>
        <v>1.3999999999999986</v>
      </c>
      <c r="D52">
        <f t="shared" si="33"/>
        <v>3.1999999999999993</v>
      </c>
      <c r="E52">
        <f t="shared" si="33"/>
        <v>8.4000000000000021</v>
      </c>
      <c r="F52">
        <f t="shared" si="33"/>
        <v>2.0999999999999943</v>
      </c>
      <c r="G52">
        <f t="shared" si="33"/>
        <v>6.4000000000000021</v>
      </c>
      <c r="H52">
        <f t="shared" si="33"/>
        <v>3.6999999999999993</v>
      </c>
      <c r="J52" t="s">
        <v>30</v>
      </c>
      <c r="K52">
        <f>K50-K51</f>
        <v>4.7000000000000028</v>
      </c>
      <c r="L52">
        <f t="shared" ref="L52" si="34">L50-L51</f>
        <v>6.6000000000000014</v>
      </c>
      <c r="M52">
        <f t="shared" ref="M52" si="35">M50-M51</f>
        <v>3.8999999999999986</v>
      </c>
      <c r="N52">
        <f t="shared" ref="N52" si="36">N50-N51</f>
        <v>4</v>
      </c>
      <c r="O52">
        <f t="shared" ref="O52" si="37">O50-O51</f>
        <v>5.5</v>
      </c>
      <c r="P52">
        <f t="shared" ref="P52" si="38">P50-P51</f>
        <v>3.3999999999999986</v>
      </c>
      <c r="Q52">
        <f t="shared" ref="Q52" si="39">Q50-Q51</f>
        <v>2.7000000000000028</v>
      </c>
    </row>
    <row r="54" spans="1:17" x14ac:dyDescent="0.2">
      <c r="A54" t="s">
        <v>1</v>
      </c>
      <c r="B54">
        <v>35.4</v>
      </c>
      <c r="C54">
        <v>35.1</v>
      </c>
      <c r="D54">
        <v>35.4</v>
      </c>
      <c r="E54">
        <v>34.9</v>
      </c>
      <c r="F54">
        <v>34.6</v>
      </c>
      <c r="G54">
        <v>34.299999999999997</v>
      </c>
      <c r="H54">
        <v>33</v>
      </c>
      <c r="J54" t="s">
        <v>1</v>
      </c>
      <c r="K54">
        <v>52.1</v>
      </c>
      <c r="L54">
        <v>53.2</v>
      </c>
      <c r="M54">
        <v>51.9</v>
      </c>
      <c r="N54">
        <v>50.3</v>
      </c>
      <c r="O54">
        <v>50.8</v>
      </c>
      <c r="P54">
        <v>52.4</v>
      </c>
      <c r="Q54">
        <v>48.7</v>
      </c>
    </row>
    <row r="55" spans="1:17" x14ac:dyDescent="0.2">
      <c r="A55" t="s">
        <v>14</v>
      </c>
      <c r="B55">
        <v>25.4</v>
      </c>
      <c r="C55">
        <v>32.299999999999997</v>
      </c>
      <c r="D55">
        <v>31.7</v>
      </c>
      <c r="E55">
        <v>27.1</v>
      </c>
      <c r="F55">
        <v>28.9</v>
      </c>
      <c r="G55">
        <v>30.6</v>
      </c>
      <c r="H55">
        <v>29.3</v>
      </c>
      <c r="J55" t="s">
        <v>14</v>
      </c>
      <c r="K55">
        <v>47.4</v>
      </c>
      <c r="L55">
        <v>47.7</v>
      </c>
      <c r="M55">
        <v>46.3</v>
      </c>
      <c r="N55">
        <v>45.8</v>
      </c>
      <c r="O55">
        <v>45.6</v>
      </c>
      <c r="P55">
        <v>44.9</v>
      </c>
      <c r="Q55">
        <v>46</v>
      </c>
    </row>
    <row r="56" spans="1:17" x14ac:dyDescent="0.2">
      <c r="B56">
        <f>B54-B55</f>
        <v>10</v>
      </c>
      <c r="C56">
        <f t="shared" ref="C56:H56" si="40">C54-C55</f>
        <v>2.8000000000000043</v>
      </c>
      <c r="D56">
        <f t="shared" si="40"/>
        <v>3.6999999999999993</v>
      </c>
      <c r="E56">
        <f t="shared" si="40"/>
        <v>7.7999999999999972</v>
      </c>
      <c r="F56">
        <f t="shared" si="40"/>
        <v>5.7000000000000028</v>
      </c>
      <c r="G56">
        <f t="shared" si="40"/>
        <v>3.6999999999999957</v>
      </c>
      <c r="H56">
        <f t="shared" si="40"/>
        <v>3.6999999999999993</v>
      </c>
      <c r="K56">
        <f>K54-K55</f>
        <v>4.7000000000000028</v>
      </c>
      <c r="L56">
        <f t="shared" ref="L56" si="41">L54-L55</f>
        <v>5.5</v>
      </c>
      <c r="M56">
        <f t="shared" ref="M56" si="42">M54-M55</f>
        <v>5.6000000000000014</v>
      </c>
      <c r="N56">
        <f t="shared" ref="N56" si="43">N54-N55</f>
        <v>4.5</v>
      </c>
      <c r="O56">
        <f t="shared" ref="O56" si="44">O54-O55</f>
        <v>5.1999999999999957</v>
      </c>
      <c r="P56">
        <f t="shared" ref="P56" si="45">P54-P55</f>
        <v>7.5</v>
      </c>
      <c r="Q56">
        <f t="shared" ref="Q56" si="46">Q54-Q55</f>
        <v>2.7000000000000028</v>
      </c>
    </row>
    <row r="57" spans="1:17" x14ac:dyDescent="0.2">
      <c r="A57" s="2" t="s">
        <v>26</v>
      </c>
      <c r="J57" s="2" t="s">
        <v>26</v>
      </c>
    </row>
    <row r="58" spans="1:17" x14ac:dyDescent="0.2">
      <c r="A58" t="s">
        <v>28</v>
      </c>
      <c r="B58" s="1">
        <f>AVERAGE(B46,B50,B54)</f>
        <v>35.4</v>
      </c>
      <c r="C58" s="1">
        <f t="shared" ref="C58:H58" si="47">AVERAGE(C46,C50,C54)</f>
        <v>33.9</v>
      </c>
      <c r="D58" s="1">
        <f t="shared" si="47"/>
        <v>33</v>
      </c>
      <c r="E58" s="1">
        <f t="shared" si="47"/>
        <v>35.1</v>
      </c>
      <c r="F58" s="1">
        <f t="shared" si="47"/>
        <v>34.4</v>
      </c>
      <c r="G58" s="1">
        <f t="shared" si="47"/>
        <v>32.133333333333333</v>
      </c>
      <c r="H58" s="1">
        <f t="shared" si="47"/>
        <v>33</v>
      </c>
      <c r="J58" t="s">
        <v>28</v>
      </c>
      <c r="K58" s="1">
        <f>AVERAGE(K46,K50,K54)</f>
        <v>52.1</v>
      </c>
      <c r="L58" s="1">
        <f t="shared" ref="L58:Q58" si="48">AVERAGE(L46,L50,L54)</f>
        <v>52.733333333333327</v>
      </c>
      <c r="M58" s="1">
        <f t="shared" si="48"/>
        <v>51.133333333333333</v>
      </c>
      <c r="N58" s="1">
        <f t="shared" si="48"/>
        <v>50.633333333333326</v>
      </c>
      <c r="O58" s="1">
        <f t="shared" si="48"/>
        <v>51.633333333333326</v>
      </c>
      <c r="P58" s="1">
        <f t="shared" si="48"/>
        <v>51.1</v>
      </c>
      <c r="Q58" s="1">
        <f t="shared" si="48"/>
        <v>48.70000000000001</v>
      </c>
    </row>
    <row r="59" spans="1:17" x14ac:dyDescent="0.2">
      <c r="A59" t="s">
        <v>29</v>
      </c>
      <c r="B59" s="1">
        <f>AVERAGE(B47,B51,B55)</f>
        <v>25.399999999999995</v>
      </c>
      <c r="C59" s="1">
        <f t="shared" ref="C59:H59" si="49">AVERAGE(C47,C51,C55)</f>
        <v>31.633333333333336</v>
      </c>
      <c r="D59" s="1">
        <f t="shared" si="49"/>
        <v>29.200000000000003</v>
      </c>
      <c r="E59" s="1">
        <f t="shared" si="49"/>
        <v>29</v>
      </c>
      <c r="F59" s="1">
        <f t="shared" si="49"/>
        <v>31.433333333333337</v>
      </c>
      <c r="G59" s="1">
        <f t="shared" si="49"/>
        <v>28.333333333333332</v>
      </c>
      <c r="H59" s="1">
        <f t="shared" si="49"/>
        <v>29.3</v>
      </c>
      <c r="J59" t="s">
        <v>29</v>
      </c>
      <c r="K59" s="1">
        <f>AVERAGE(K47,K51,K55)</f>
        <v>47.4</v>
      </c>
      <c r="L59" s="1">
        <f t="shared" ref="L59:Q59" si="50">AVERAGE(L47,L51,L55)</f>
        <v>47.4</v>
      </c>
      <c r="M59" s="1">
        <f t="shared" si="50"/>
        <v>46.4</v>
      </c>
      <c r="N59" s="1">
        <f t="shared" si="50"/>
        <v>45.833333333333336</v>
      </c>
      <c r="O59" s="1">
        <f t="shared" si="50"/>
        <v>46</v>
      </c>
      <c r="P59" s="1">
        <f t="shared" si="50"/>
        <v>46</v>
      </c>
      <c r="Q59" s="1">
        <f t="shared" si="50"/>
        <v>46</v>
      </c>
    </row>
    <row r="60" spans="1:17" x14ac:dyDescent="0.2">
      <c r="A60" t="s">
        <v>31</v>
      </c>
      <c r="B60" s="1">
        <f>B58-B59</f>
        <v>10.000000000000004</v>
      </c>
      <c r="C60" s="1">
        <f t="shared" ref="C60:H60" si="51">C58-C59</f>
        <v>2.2666666666666622</v>
      </c>
      <c r="D60" s="1">
        <f t="shared" si="51"/>
        <v>3.7999999999999972</v>
      </c>
      <c r="E60" s="1">
        <f t="shared" si="51"/>
        <v>6.1000000000000014</v>
      </c>
      <c r="F60" s="1">
        <f t="shared" si="51"/>
        <v>2.9666666666666615</v>
      </c>
      <c r="G60" s="1">
        <f t="shared" si="51"/>
        <v>3.8000000000000007</v>
      </c>
      <c r="H60" s="1">
        <f t="shared" si="51"/>
        <v>3.6999999999999993</v>
      </c>
      <c r="J60" t="s">
        <v>31</v>
      </c>
      <c r="K60" s="1">
        <f>K58-K59</f>
        <v>4.7000000000000028</v>
      </c>
      <c r="L60" s="1">
        <f t="shared" ref="L60" si="52">L58-L59</f>
        <v>5.3333333333333286</v>
      </c>
      <c r="M60" s="1">
        <f t="shared" ref="M60" si="53">M58-M59</f>
        <v>4.7333333333333343</v>
      </c>
      <c r="N60" s="1">
        <f t="shared" ref="N60" si="54">N58-N59</f>
        <v>4.7999999999999901</v>
      </c>
      <c r="O60" s="1">
        <f t="shared" ref="O60" si="55">O58-O59</f>
        <v>5.6333333333333258</v>
      </c>
      <c r="P60" s="1">
        <f t="shared" ref="P60" si="56">P58-P59</f>
        <v>5.1000000000000014</v>
      </c>
      <c r="Q60" s="1">
        <f t="shared" ref="Q60" si="57">Q58-Q59</f>
        <v>2.7000000000000099</v>
      </c>
    </row>
    <row r="61" spans="1:17" x14ac:dyDescent="0.2">
      <c r="A61" t="s">
        <v>27</v>
      </c>
      <c r="B61" s="1"/>
      <c r="C61" s="1"/>
      <c r="D61" s="1"/>
      <c r="E61" s="1"/>
      <c r="F61" s="1"/>
      <c r="G61" s="1"/>
      <c r="H61" s="1"/>
      <c r="J61" t="s">
        <v>27</v>
      </c>
      <c r="K61" s="1"/>
      <c r="L61" s="1"/>
      <c r="M61" s="1"/>
      <c r="N61" s="1"/>
      <c r="O61" s="1"/>
      <c r="P61" s="1"/>
      <c r="Q61" s="1"/>
    </row>
    <row r="62" spans="1:17" x14ac:dyDescent="0.2">
      <c r="A62" t="s">
        <v>14</v>
      </c>
      <c r="B62">
        <f>1-B59/B58</f>
        <v>0.28248587570621475</v>
      </c>
      <c r="C62">
        <f t="shared" ref="C62:Q62" si="58">1-C59/C58</f>
        <v>6.6863323500491512E-2</v>
      </c>
      <c r="D62">
        <f t="shared" si="58"/>
        <v>0.11515151515151512</v>
      </c>
      <c r="E62">
        <f t="shared" si="58"/>
        <v>0.1737891737891738</v>
      </c>
      <c r="F62">
        <f t="shared" si="58"/>
        <v>8.62403100775192E-2</v>
      </c>
      <c r="G62">
        <f t="shared" si="58"/>
        <v>0.11825726141078841</v>
      </c>
      <c r="H62">
        <f t="shared" si="58"/>
        <v>0.11212121212121207</v>
      </c>
      <c r="J62" t="s">
        <v>14</v>
      </c>
      <c r="K62">
        <f t="shared" si="58"/>
        <v>9.0211132437620023E-2</v>
      </c>
      <c r="L62">
        <f t="shared" si="58"/>
        <v>0.10113780025284447</v>
      </c>
      <c r="M62">
        <f t="shared" si="58"/>
        <v>9.2568448500651934E-2</v>
      </c>
      <c r="N62">
        <f t="shared" si="58"/>
        <v>9.479921000658309E-2</v>
      </c>
      <c r="O62">
        <f t="shared" si="58"/>
        <v>0.10910264686894755</v>
      </c>
      <c r="P62">
        <f t="shared" si="58"/>
        <v>9.9804305283757389E-2</v>
      </c>
      <c r="Q62">
        <f t="shared" si="58"/>
        <v>5.5441478439425262E-2</v>
      </c>
    </row>
    <row r="64" spans="1:17" x14ac:dyDescent="0.2">
      <c r="A64" s="2" t="s">
        <v>26</v>
      </c>
      <c r="B64" t="s">
        <v>22</v>
      </c>
      <c r="C64" t="s">
        <v>23</v>
      </c>
      <c r="D64" t="s">
        <v>1</v>
      </c>
      <c r="E64" t="s">
        <v>24</v>
      </c>
      <c r="F64" t="s">
        <v>25</v>
      </c>
      <c r="J64" s="2" t="s">
        <v>26</v>
      </c>
      <c r="K64" t="s">
        <v>22</v>
      </c>
      <c r="L64" t="s">
        <v>23</v>
      </c>
      <c r="M64" t="s">
        <v>1</v>
      </c>
      <c r="N64" t="s">
        <v>24</v>
      </c>
      <c r="O64" t="s">
        <v>25</v>
      </c>
    </row>
    <row r="65" spans="1:15" x14ac:dyDescent="0.2">
      <c r="A65" t="s">
        <v>1</v>
      </c>
      <c r="B65">
        <v>30.7</v>
      </c>
      <c r="C65">
        <v>29</v>
      </c>
      <c r="D65">
        <v>33</v>
      </c>
      <c r="E65">
        <v>25.2</v>
      </c>
      <c r="F65">
        <v>26.7</v>
      </c>
      <c r="J65" t="s">
        <v>1</v>
      </c>
      <c r="K65">
        <v>49.6</v>
      </c>
      <c r="L65">
        <v>47.5</v>
      </c>
      <c r="M65">
        <v>48.7</v>
      </c>
      <c r="N65">
        <v>44.1</v>
      </c>
      <c r="O65">
        <v>46.1</v>
      </c>
    </row>
    <row r="66" spans="1:15" x14ac:dyDescent="0.2">
      <c r="A66" t="s">
        <v>14</v>
      </c>
      <c r="B66">
        <v>24.1</v>
      </c>
      <c r="C66">
        <v>29.2</v>
      </c>
      <c r="D66">
        <v>29.3</v>
      </c>
      <c r="E66">
        <v>29.1</v>
      </c>
      <c r="F66">
        <v>27.1</v>
      </c>
      <c r="J66" t="s">
        <v>14</v>
      </c>
      <c r="K66">
        <v>47.3</v>
      </c>
      <c r="L66">
        <v>43.4</v>
      </c>
      <c r="M66">
        <v>46</v>
      </c>
      <c r="N66">
        <v>41.2</v>
      </c>
      <c r="O66">
        <v>44.8</v>
      </c>
    </row>
    <row r="67" spans="1:15" x14ac:dyDescent="0.2">
      <c r="A67" t="s">
        <v>27</v>
      </c>
      <c r="J67" t="s">
        <v>27</v>
      </c>
    </row>
    <row r="68" spans="1:15" x14ac:dyDescent="0.2">
      <c r="A68" t="s">
        <v>14</v>
      </c>
      <c r="B68">
        <f>1-B66/B65</f>
        <v>0.21498371335504884</v>
      </c>
      <c r="C68">
        <f t="shared" ref="C68:O68" si="59">1-C66/C65</f>
        <v>-6.8965517241379448E-3</v>
      </c>
      <c r="D68">
        <f t="shared" si="59"/>
        <v>0.11212121212121207</v>
      </c>
      <c r="E68">
        <f t="shared" si="59"/>
        <v>-0.15476190476190488</v>
      </c>
      <c r="F68">
        <f t="shared" si="59"/>
        <v>-1.4981273408239737E-2</v>
      </c>
      <c r="J68" t="s">
        <v>14</v>
      </c>
      <c r="K68">
        <f t="shared" si="59"/>
        <v>4.6370967741935609E-2</v>
      </c>
      <c r="L68">
        <f t="shared" si="59"/>
        <v>8.6315789473684235E-2</v>
      </c>
      <c r="M68">
        <f t="shared" si="59"/>
        <v>5.5441478439425151E-2</v>
      </c>
      <c r="N68">
        <f t="shared" si="59"/>
        <v>6.5759637188208542E-2</v>
      </c>
      <c r="O68">
        <f t="shared" si="59"/>
        <v>2.8199566160520662E-2</v>
      </c>
    </row>
  </sheetData>
  <mergeCells count="3">
    <mergeCell ref="A1:H1"/>
    <mergeCell ref="J1:Q1"/>
    <mergeCell ref="S1:Z1"/>
  </mergeCells>
  <hyperlinks>
    <hyperlink ref="A2" r:id="rId1" xr:uid="{CA3CE5AB-35F1-BF45-858A-B5410B074798}"/>
    <hyperlink ref="A12" r:id="rId2" xr:uid="{DE4FD734-9ACF-9148-8CAC-3D33225232D4}"/>
    <hyperlink ref="A22" r:id="rId3" xr:uid="{79C7CA60-09B8-214B-A11D-CB6C4AC22F5F}"/>
    <hyperlink ref="A32" r:id="rId4" xr:uid="{F9A23C7A-F19A-034C-B2C3-C89FA6BFE8E0}"/>
    <hyperlink ref="A57" r:id="rId5" xr:uid="{A440720D-3C0F-7943-B27F-DFC2BD52B455}"/>
    <hyperlink ref="A64" r:id="rId6" xr:uid="{C37D475F-7A1E-5049-8F66-60620F78A263}"/>
    <hyperlink ref="A45" r:id="rId7" xr:uid="{9E5C9AC1-F16C-6945-AB3F-7915A4B5F350}"/>
    <hyperlink ref="J2" r:id="rId8" xr:uid="{2D8A90F3-F3F0-8F43-BE54-2A7AD625863E}"/>
    <hyperlink ref="J12" r:id="rId9" xr:uid="{DB1B631B-ED8B-DB44-8310-79688C243B74}"/>
    <hyperlink ref="J22" r:id="rId10" xr:uid="{B19B99B3-2E33-9F48-A0A9-C412925D5B05}"/>
    <hyperlink ref="J32" r:id="rId11" xr:uid="{2F8A9CFA-517A-7942-A6DA-80FE47EED3B1}"/>
    <hyperlink ref="J57" r:id="rId12" xr:uid="{78FC39B5-7907-1A4A-ABFF-92D98AA52EFA}"/>
    <hyperlink ref="J64" r:id="rId13" xr:uid="{E33C2646-4756-414D-B64C-66B8D2D3BA58}"/>
    <hyperlink ref="J45" r:id="rId14" xr:uid="{7966B228-33E3-0143-8ED1-9A7AC7D379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YangLiu</dc:creator>
  <cp:lastModifiedBy>YangLiu</cp:lastModifiedBy>
  <dcterms:created xsi:type="dcterms:W3CDTF">2025-02-28T00:23:53Z</dcterms:created>
  <dcterms:modified xsi:type="dcterms:W3CDTF">2025-06-17T14:06:07Z</dcterms:modified>
</cp:coreProperties>
</file>