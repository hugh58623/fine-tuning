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9A6CB87E-6026-4940-B41A-55E24DC646B6}" xr6:coauthVersionLast="47" xr6:coauthVersionMax="47" xr10:uidLastSave="{00000000-0000-0000-0000-000000000000}"/>
  <bookViews>
    <workbookView xWindow="68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8" i="1" l="1"/>
  <c r="K68" i="1" l="1"/>
  <c r="L68" i="1"/>
  <c r="M68" i="1"/>
  <c r="N68" i="1"/>
  <c r="O68" i="1"/>
  <c r="T68" i="1"/>
  <c r="U68" i="1"/>
  <c r="W68" i="1"/>
  <c r="X68" i="1"/>
  <c r="AC68" i="1"/>
  <c r="AD68" i="1"/>
  <c r="AE68" i="1"/>
  <c r="AF68" i="1"/>
  <c r="AG68" i="1"/>
  <c r="Q62" i="1"/>
  <c r="V62" i="1"/>
  <c r="AD62" i="1"/>
  <c r="K39" i="1"/>
  <c r="L39" i="1"/>
  <c r="M39" i="1"/>
  <c r="N39" i="1"/>
  <c r="O39" i="1"/>
  <c r="P39" i="1"/>
  <c r="T39" i="1"/>
  <c r="U39" i="1"/>
  <c r="V39" i="1"/>
  <c r="W39" i="1"/>
  <c r="X39" i="1"/>
  <c r="Y39" i="1"/>
  <c r="AC39" i="1"/>
  <c r="AD39" i="1"/>
  <c r="AE39" i="1"/>
  <c r="AF39" i="1"/>
  <c r="AG39" i="1"/>
  <c r="AH39" i="1"/>
  <c r="K40" i="1"/>
  <c r="L40" i="1"/>
  <c r="M40" i="1"/>
  <c r="N40" i="1"/>
  <c r="O40" i="1"/>
  <c r="P40" i="1"/>
  <c r="T40" i="1"/>
  <c r="U40" i="1"/>
  <c r="V40" i="1"/>
  <c r="W40" i="1"/>
  <c r="X40" i="1"/>
  <c r="Y40" i="1"/>
  <c r="AC40" i="1"/>
  <c r="AD40" i="1"/>
  <c r="AE40" i="1"/>
  <c r="AF40" i="1"/>
  <c r="AG40" i="1"/>
  <c r="AH40" i="1"/>
  <c r="K41" i="1"/>
  <c r="L41" i="1"/>
  <c r="M41" i="1"/>
  <c r="N41" i="1"/>
  <c r="O41" i="1"/>
  <c r="P41" i="1"/>
  <c r="T41" i="1"/>
  <c r="U41" i="1"/>
  <c r="V41" i="1"/>
  <c r="W41" i="1"/>
  <c r="X41" i="1"/>
  <c r="Y41" i="1"/>
  <c r="AC41" i="1"/>
  <c r="AD41" i="1"/>
  <c r="AE41" i="1"/>
  <c r="AF41" i="1"/>
  <c r="AG41" i="1"/>
  <c r="AH41" i="1"/>
  <c r="K42" i="1"/>
  <c r="L42" i="1"/>
  <c r="M42" i="1"/>
  <c r="N42" i="1"/>
  <c r="O42" i="1"/>
  <c r="P42" i="1"/>
  <c r="T42" i="1"/>
  <c r="U42" i="1"/>
  <c r="V42" i="1"/>
  <c r="W42" i="1"/>
  <c r="X42" i="1"/>
  <c r="Y42" i="1"/>
  <c r="AC42" i="1"/>
  <c r="AD42" i="1"/>
  <c r="AE42" i="1"/>
  <c r="AF42" i="1"/>
  <c r="AG42" i="1"/>
  <c r="AH42" i="1"/>
  <c r="K28" i="1"/>
  <c r="L28" i="1"/>
  <c r="M28" i="1"/>
  <c r="N28" i="1"/>
  <c r="O28" i="1"/>
  <c r="T28" i="1"/>
  <c r="U28" i="1"/>
  <c r="V28" i="1"/>
  <c r="W28" i="1"/>
  <c r="X28" i="1"/>
  <c r="AC28" i="1"/>
  <c r="AD28" i="1"/>
  <c r="AE28" i="1"/>
  <c r="AF28" i="1"/>
  <c r="AG28" i="1"/>
  <c r="K29" i="1"/>
  <c r="L29" i="1"/>
  <c r="M29" i="1"/>
  <c r="N29" i="1"/>
  <c r="O29" i="1"/>
  <c r="T29" i="1"/>
  <c r="U29" i="1"/>
  <c r="V29" i="1"/>
  <c r="W29" i="1"/>
  <c r="X29" i="1"/>
  <c r="AC29" i="1"/>
  <c r="AD29" i="1"/>
  <c r="AE29" i="1"/>
  <c r="AF29" i="1"/>
  <c r="AG29" i="1"/>
  <c r="K30" i="1"/>
  <c r="L30" i="1"/>
  <c r="M30" i="1"/>
  <c r="N30" i="1"/>
  <c r="O30" i="1"/>
  <c r="T30" i="1"/>
  <c r="U30" i="1"/>
  <c r="V30" i="1"/>
  <c r="W30" i="1"/>
  <c r="X30" i="1"/>
  <c r="AC30" i="1"/>
  <c r="AD30" i="1"/>
  <c r="AE30" i="1"/>
  <c r="AF30" i="1"/>
  <c r="AG30" i="1"/>
  <c r="K18" i="1"/>
  <c r="L18" i="1"/>
  <c r="M18" i="1"/>
  <c r="N18" i="1"/>
  <c r="O18" i="1"/>
  <c r="T18" i="1"/>
  <c r="U18" i="1"/>
  <c r="V18" i="1"/>
  <c r="W18" i="1"/>
  <c r="X18" i="1"/>
  <c r="AC18" i="1"/>
  <c r="AD18" i="1"/>
  <c r="AE18" i="1"/>
  <c r="AF18" i="1"/>
  <c r="AG18" i="1"/>
  <c r="K19" i="1"/>
  <c r="L19" i="1"/>
  <c r="M19" i="1"/>
  <c r="N19" i="1"/>
  <c r="O19" i="1"/>
  <c r="T19" i="1"/>
  <c r="U19" i="1"/>
  <c r="V19" i="1"/>
  <c r="W19" i="1"/>
  <c r="X19" i="1"/>
  <c r="AC19" i="1"/>
  <c r="AD19" i="1"/>
  <c r="AE19" i="1"/>
  <c r="AF19" i="1"/>
  <c r="AG19" i="1"/>
  <c r="K20" i="1"/>
  <c r="L20" i="1"/>
  <c r="M20" i="1"/>
  <c r="N20" i="1"/>
  <c r="O20" i="1"/>
  <c r="T20" i="1"/>
  <c r="U20" i="1"/>
  <c r="V20" i="1"/>
  <c r="W20" i="1"/>
  <c r="X20" i="1"/>
  <c r="AC20" i="1"/>
  <c r="AD20" i="1"/>
  <c r="AE20" i="1"/>
  <c r="AF20" i="1"/>
  <c r="AG20" i="1"/>
  <c r="K8" i="1"/>
  <c r="L8" i="1"/>
  <c r="M8" i="1"/>
  <c r="N8" i="1"/>
  <c r="O8" i="1"/>
  <c r="T8" i="1"/>
  <c r="U8" i="1"/>
  <c r="V8" i="1"/>
  <c r="W8" i="1"/>
  <c r="X8" i="1"/>
  <c r="AC8" i="1"/>
  <c r="AD8" i="1"/>
  <c r="AE8" i="1"/>
  <c r="AF8" i="1"/>
  <c r="AG8" i="1"/>
  <c r="K9" i="1"/>
  <c r="L9" i="1"/>
  <c r="M9" i="1"/>
  <c r="N9" i="1"/>
  <c r="O9" i="1"/>
  <c r="T9" i="1"/>
  <c r="U9" i="1"/>
  <c r="V9" i="1"/>
  <c r="W9" i="1"/>
  <c r="X9" i="1"/>
  <c r="AC9" i="1"/>
  <c r="AD9" i="1"/>
  <c r="AE9" i="1"/>
  <c r="AF9" i="1"/>
  <c r="AG9" i="1"/>
  <c r="K10" i="1"/>
  <c r="L10" i="1"/>
  <c r="M10" i="1"/>
  <c r="N10" i="1"/>
  <c r="O10" i="1"/>
  <c r="T10" i="1"/>
  <c r="U10" i="1"/>
  <c r="V10" i="1"/>
  <c r="W10" i="1"/>
  <c r="X10" i="1"/>
  <c r="AC10" i="1"/>
  <c r="AD10" i="1"/>
  <c r="AE10" i="1"/>
  <c r="AF10" i="1"/>
  <c r="AG10" i="1"/>
  <c r="C68" i="1"/>
  <c r="D68" i="1"/>
  <c r="E68" i="1"/>
  <c r="F68" i="1"/>
  <c r="B68" i="1"/>
  <c r="D62" i="1"/>
  <c r="B62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28" i="1"/>
  <c r="D28" i="1"/>
  <c r="E28" i="1"/>
  <c r="F28" i="1"/>
  <c r="C29" i="1"/>
  <c r="D29" i="1"/>
  <c r="E29" i="1"/>
  <c r="F29" i="1"/>
  <c r="C30" i="1"/>
  <c r="D30" i="1"/>
  <c r="E30" i="1"/>
  <c r="F30" i="1"/>
  <c r="C18" i="1"/>
  <c r="D18" i="1"/>
  <c r="E18" i="1"/>
  <c r="F18" i="1"/>
  <c r="C19" i="1"/>
  <c r="D19" i="1"/>
  <c r="E19" i="1"/>
  <c r="F19" i="1"/>
  <c r="C20" i="1"/>
  <c r="D20" i="1"/>
  <c r="E20" i="1"/>
  <c r="F20" i="1"/>
  <c r="B42" i="1"/>
  <c r="B41" i="1"/>
  <c r="B40" i="1"/>
  <c r="B39" i="1"/>
  <c r="B30" i="1"/>
  <c r="B29" i="1"/>
  <c r="B28" i="1"/>
  <c r="B20" i="1"/>
  <c r="B19" i="1"/>
  <c r="B18" i="1"/>
  <c r="C8" i="1"/>
  <c r="D8" i="1"/>
  <c r="E8" i="1"/>
  <c r="F8" i="1"/>
  <c r="C9" i="1"/>
  <c r="D9" i="1"/>
  <c r="E9" i="1"/>
  <c r="F9" i="1"/>
  <c r="C10" i="1"/>
  <c r="D10" i="1"/>
  <c r="E10" i="1"/>
  <c r="F10" i="1"/>
  <c r="B10" i="1"/>
  <c r="B9" i="1"/>
  <c r="B8" i="1"/>
  <c r="Z59" i="1"/>
  <c r="Y59" i="1"/>
  <c r="Y62" i="1" s="1"/>
  <c r="X59" i="1"/>
  <c r="X62" i="1" s="1"/>
  <c r="W59" i="1"/>
  <c r="W62" i="1" s="1"/>
  <c r="V59" i="1"/>
  <c r="U59" i="1"/>
  <c r="U62" i="1" s="1"/>
  <c r="T59" i="1"/>
  <c r="T62" i="1" s="1"/>
  <c r="Z58" i="1"/>
  <c r="Y58" i="1"/>
  <c r="X58" i="1"/>
  <c r="W58" i="1"/>
  <c r="V58" i="1"/>
  <c r="U58" i="1"/>
  <c r="T58" i="1"/>
  <c r="Z56" i="1"/>
  <c r="Y56" i="1"/>
  <c r="X56" i="1"/>
  <c r="W56" i="1"/>
  <c r="V56" i="1"/>
  <c r="U56" i="1"/>
  <c r="T56" i="1"/>
  <c r="Z52" i="1"/>
  <c r="Y52" i="1"/>
  <c r="X52" i="1"/>
  <c r="W52" i="1"/>
  <c r="V52" i="1"/>
  <c r="U52" i="1"/>
  <c r="T52" i="1"/>
  <c r="Z48" i="1"/>
  <c r="Y48" i="1"/>
  <c r="X48" i="1"/>
  <c r="W48" i="1"/>
  <c r="V48" i="1"/>
  <c r="U48" i="1"/>
  <c r="T48" i="1"/>
  <c r="AI59" i="1"/>
  <c r="AI62" i="1" s="1"/>
  <c r="AH59" i="1"/>
  <c r="AH62" i="1" s="1"/>
  <c r="AG59" i="1"/>
  <c r="AG62" i="1" s="1"/>
  <c r="AF59" i="1"/>
  <c r="AE59" i="1"/>
  <c r="AE62" i="1" s="1"/>
  <c r="AD59" i="1"/>
  <c r="AC59" i="1"/>
  <c r="AC62" i="1" s="1"/>
  <c r="AI58" i="1"/>
  <c r="AH58" i="1"/>
  <c r="AG58" i="1"/>
  <c r="AF58" i="1"/>
  <c r="AF62" i="1" s="1"/>
  <c r="AE58" i="1"/>
  <c r="AD58" i="1"/>
  <c r="AC58" i="1"/>
  <c r="AI56" i="1"/>
  <c r="AH56" i="1"/>
  <c r="AG56" i="1"/>
  <c r="AF56" i="1"/>
  <c r="AE56" i="1"/>
  <c r="AD56" i="1"/>
  <c r="AC56" i="1"/>
  <c r="AI52" i="1"/>
  <c r="AH52" i="1"/>
  <c r="AG52" i="1"/>
  <c r="AF52" i="1"/>
  <c r="AE52" i="1"/>
  <c r="AD52" i="1"/>
  <c r="AC52" i="1"/>
  <c r="AI48" i="1"/>
  <c r="AH48" i="1"/>
  <c r="AG48" i="1"/>
  <c r="AF48" i="1"/>
  <c r="AE48" i="1"/>
  <c r="AD48" i="1"/>
  <c r="AC48" i="1"/>
  <c r="Q59" i="1"/>
  <c r="P59" i="1"/>
  <c r="O59" i="1"/>
  <c r="O62" i="1" s="1"/>
  <c r="N59" i="1"/>
  <c r="N62" i="1" s="1"/>
  <c r="M59" i="1"/>
  <c r="M62" i="1" s="1"/>
  <c r="L59" i="1"/>
  <c r="K59" i="1"/>
  <c r="K62" i="1" s="1"/>
  <c r="H59" i="1"/>
  <c r="H62" i="1" s="1"/>
  <c r="G59" i="1"/>
  <c r="F59" i="1"/>
  <c r="F62" i="1" s="1"/>
  <c r="E59" i="1"/>
  <c r="E62" i="1" s="1"/>
  <c r="D59" i="1"/>
  <c r="C59" i="1"/>
  <c r="C62" i="1" s="1"/>
  <c r="B59" i="1"/>
  <c r="Q58" i="1"/>
  <c r="P58" i="1"/>
  <c r="P62" i="1" s="1"/>
  <c r="O58" i="1"/>
  <c r="N58" i="1"/>
  <c r="M58" i="1"/>
  <c r="L58" i="1"/>
  <c r="L62" i="1" s="1"/>
  <c r="K58" i="1"/>
  <c r="H58" i="1"/>
  <c r="G58" i="1"/>
  <c r="G62" i="1" s="1"/>
  <c r="F58" i="1"/>
  <c r="E58" i="1"/>
  <c r="D58" i="1"/>
  <c r="C58" i="1"/>
  <c r="B58" i="1"/>
  <c r="Q56" i="1"/>
  <c r="P56" i="1"/>
  <c r="O56" i="1"/>
  <c r="N56" i="1"/>
  <c r="M56" i="1"/>
  <c r="L56" i="1"/>
  <c r="K56" i="1"/>
  <c r="H56" i="1"/>
  <c r="G56" i="1"/>
  <c r="F56" i="1"/>
  <c r="E56" i="1"/>
  <c r="D56" i="1"/>
  <c r="C56" i="1"/>
  <c r="B56" i="1"/>
  <c r="Q52" i="1"/>
  <c r="P52" i="1"/>
  <c r="O52" i="1"/>
  <c r="N52" i="1"/>
  <c r="M52" i="1"/>
  <c r="L52" i="1"/>
  <c r="K52" i="1"/>
  <c r="H52" i="1"/>
  <c r="G52" i="1"/>
  <c r="F52" i="1"/>
  <c r="E52" i="1"/>
  <c r="D52" i="1"/>
  <c r="C52" i="1"/>
  <c r="B52" i="1"/>
  <c r="Q48" i="1"/>
  <c r="P48" i="1"/>
  <c r="O48" i="1"/>
  <c r="N48" i="1"/>
  <c r="M48" i="1"/>
  <c r="L48" i="1"/>
  <c r="K48" i="1"/>
  <c r="H48" i="1"/>
  <c r="G48" i="1"/>
  <c r="F48" i="1"/>
  <c r="E48" i="1"/>
  <c r="D48" i="1"/>
  <c r="C48" i="1"/>
  <c r="B48" i="1"/>
  <c r="Z62" i="1" l="1"/>
  <c r="Q60" i="1"/>
  <c r="G60" i="1"/>
  <c r="U60" i="1"/>
  <c r="X60" i="1"/>
  <c r="F60" i="1"/>
  <c r="P60" i="1"/>
  <c r="T60" i="1"/>
  <c r="Y60" i="1"/>
  <c r="D60" i="1"/>
  <c r="Z60" i="1"/>
  <c r="V60" i="1"/>
  <c r="K60" i="1"/>
  <c r="W60" i="1"/>
  <c r="AH60" i="1"/>
  <c r="AF60" i="1"/>
  <c r="AI60" i="1"/>
  <c r="AE60" i="1"/>
  <c r="AG60" i="1"/>
  <c r="AD60" i="1"/>
  <c r="AC60" i="1"/>
  <c r="L60" i="1"/>
  <c r="N60" i="1"/>
  <c r="H60" i="1"/>
  <c r="B60" i="1"/>
  <c r="C60" i="1"/>
  <c r="M60" i="1"/>
  <c r="E60" i="1"/>
  <c r="O60" i="1"/>
</calcChain>
</file>

<file path=xl/sharedStrings.xml><?xml version="1.0" encoding="utf-8"?>
<sst xmlns="http://schemas.openxmlformats.org/spreadsheetml/2006/main" count="302" uniqueCount="36">
  <si>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</si>
  <si>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</si>
  <si>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</si>
  <si>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</si>
  <si>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</si>
  <si>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</si>
  <si>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</si>
  <si>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</si>
  <si>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</si>
  <si>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</si>
  <si>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</si>
  <si>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</si>
  <si>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</si>
  <si>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</si>
  <si>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</si>
  <si>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</si>
  <si>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</si>
  <si>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</si>
  <si>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</si>
  <si>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</si>
  <si>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</si>
  <si>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</si>
  <si>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</si>
  <si>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</si>
  <si>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</si>
  <si>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</si>
  <si>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pass@1</t>
  </si>
  <si>
    <t>RD</t>
  </si>
  <si>
    <t>Difference</t>
  </si>
  <si>
    <t>average nomin</t>
  </si>
  <si>
    <t>average mix</t>
  </si>
  <si>
    <t>average Difference</t>
  </si>
  <si>
    <t>HumanEval</t>
  </si>
  <si>
    <t>MBPP</t>
  </si>
  <si>
    <t>HumanEvalX_Java</t>
  </si>
  <si>
    <t>HumanEvalX_cpp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</si>
</sst>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AI68"/>
  <sheetViews>
    <sheetView tabSelected="1" workbookViewId="0">
      <selection activeCell="AB1" sqref="AB1:AI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35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  <c r="S1" s="3" t="s">
        <v>34</v>
      </c>
      <c r="T1" s="3"/>
      <c r="U1" s="3"/>
      <c r="V1" s="3"/>
      <c r="W1" s="3"/>
      <c r="X1" s="3"/>
      <c r="Y1" s="3"/>
      <c r="Z1" s="3"/>
      <c r="AB1" s="3" t="s">
        <v>35</v>
      </c>
      <c r="AC1" s="3"/>
      <c r="AD1" s="3"/>
      <c r="AE1" s="3"/>
      <c r="AF1" s="3"/>
      <c r="AG1" s="3"/>
      <c r="AH1" s="3"/>
      <c r="AI1" s="3"/>
    </row>
    <row r="2" spans="1:35" x14ac:dyDescent="0.2">
      <c r="A2" s="2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26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T2" t="s">
        <v>0</v>
      </c>
      <c r="U2" t="s">
        <v>1</v>
      </c>
      <c r="V2" t="s">
        <v>2</v>
      </c>
      <c r="W2" t="s">
        <v>3</v>
      </c>
      <c r="X2" t="s">
        <v>4</v>
      </c>
      <c r="AC2" t="s">
        <v>0</v>
      </c>
      <c r="AD2" t="s">
        <v>1</v>
      </c>
      <c r="AE2" t="s">
        <v>2</v>
      </c>
      <c r="AF2" t="s">
        <v>3</v>
      </c>
      <c r="AG2" t="s">
        <v>4</v>
      </c>
    </row>
    <row r="3" spans="1:35" x14ac:dyDescent="0.2">
      <c r="A3" t="s">
        <v>1</v>
      </c>
      <c r="B3">
        <v>20.2</v>
      </c>
      <c r="C3">
        <v>25.3</v>
      </c>
      <c r="D3">
        <v>24.7</v>
      </c>
      <c r="E3">
        <v>23.7</v>
      </c>
      <c r="F3">
        <v>25</v>
      </c>
      <c r="J3" t="s">
        <v>1</v>
      </c>
      <c r="K3">
        <v>41.8</v>
      </c>
      <c r="L3">
        <v>43.6</v>
      </c>
      <c r="M3">
        <v>44</v>
      </c>
      <c r="N3">
        <v>42.6</v>
      </c>
      <c r="O3">
        <v>43.8</v>
      </c>
      <c r="S3" t="s">
        <v>1</v>
      </c>
      <c r="T3">
        <v>21.7</v>
      </c>
      <c r="U3">
        <v>18.7</v>
      </c>
      <c r="V3">
        <v>12.7</v>
      </c>
      <c r="W3">
        <v>16</v>
      </c>
      <c r="X3">
        <v>18.3</v>
      </c>
      <c r="AB3" t="s">
        <v>1</v>
      </c>
      <c r="AC3">
        <v>20.2</v>
      </c>
      <c r="AD3">
        <v>20.3</v>
      </c>
      <c r="AE3">
        <v>20.399999999999999</v>
      </c>
      <c r="AF3">
        <v>20.9</v>
      </c>
      <c r="AG3">
        <v>20.8</v>
      </c>
    </row>
    <row r="4" spans="1:35" x14ac:dyDescent="0.2">
      <c r="A4" t="s">
        <v>2</v>
      </c>
      <c r="B4">
        <v>3.1</v>
      </c>
      <c r="C4">
        <v>23</v>
      </c>
      <c r="D4">
        <v>23.8</v>
      </c>
      <c r="E4">
        <v>23.4</v>
      </c>
      <c r="F4">
        <v>23.4</v>
      </c>
      <c r="J4" t="s">
        <v>2</v>
      </c>
      <c r="K4">
        <v>37.299999999999997</v>
      </c>
      <c r="L4">
        <v>40.5</v>
      </c>
      <c r="M4">
        <v>39.9</v>
      </c>
      <c r="N4">
        <v>39.799999999999997</v>
      </c>
      <c r="O4">
        <v>40.200000000000003</v>
      </c>
      <c r="S4" t="s">
        <v>2</v>
      </c>
      <c r="T4">
        <v>16.399999999999999</v>
      </c>
      <c r="U4">
        <v>13</v>
      </c>
      <c r="V4">
        <v>9.9</v>
      </c>
      <c r="W4">
        <v>11.6</v>
      </c>
      <c r="X4">
        <v>13.3</v>
      </c>
      <c r="AB4" t="s">
        <v>2</v>
      </c>
      <c r="AC4">
        <v>20.100000000000001</v>
      </c>
      <c r="AD4">
        <v>17.7</v>
      </c>
      <c r="AE4">
        <v>18.2</v>
      </c>
      <c r="AF4">
        <v>18.8</v>
      </c>
      <c r="AG4">
        <v>17.899999999999999</v>
      </c>
    </row>
    <row r="5" spans="1:35" x14ac:dyDescent="0.2">
      <c r="A5" t="s">
        <v>3</v>
      </c>
      <c r="B5">
        <v>3.1</v>
      </c>
      <c r="C5">
        <v>24</v>
      </c>
      <c r="D5">
        <v>23.6</v>
      </c>
      <c r="E5">
        <v>23.7</v>
      </c>
      <c r="F5">
        <v>23.8</v>
      </c>
      <c r="J5" t="s">
        <v>3</v>
      </c>
      <c r="K5">
        <v>37.9</v>
      </c>
      <c r="L5">
        <v>39.799999999999997</v>
      </c>
      <c r="M5">
        <v>40.5</v>
      </c>
      <c r="N5">
        <v>40</v>
      </c>
      <c r="O5">
        <v>40.200000000000003</v>
      </c>
      <c r="S5" t="s">
        <v>3</v>
      </c>
      <c r="T5">
        <v>17.7</v>
      </c>
      <c r="U5">
        <v>12.6</v>
      </c>
      <c r="V5">
        <v>9.1</v>
      </c>
      <c r="W5">
        <v>11.6</v>
      </c>
      <c r="X5">
        <v>13</v>
      </c>
      <c r="AB5" t="s">
        <v>3</v>
      </c>
      <c r="AC5">
        <v>18.899999999999999</v>
      </c>
      <c r="AD5">
        <v>17.3</v>
      </c>
      <c r="AE5">
        <v>18.399999999999999</v>
      </c>
      <c r="AF5">
        <v>19</v>
      </c>
      <c r="AG5">
        <v>18.7</v>
      </c>
    </row>
    <row r="6" spans="1:35" x14ac:dyDescent="0.2">
      <c r="A6" t="s">
        <v>4</v>
      </c>
      <c r="B6">
        <v>2.9</v>
      </c>
      <c r="C6">
        <v>21.4</v>
      </c>
      <c r="D6">
        <v>21.6</v>
      </c>
      <c r="E6">
        <v>21.7</v>
      </c>
      <c r="F6">
        <v>22.5</v>
      </c>
      <c r="J6" t="s">
        <v>4</v>
      </c>
      <c r="K6">
        <v>35.299999999999997</v>
      </c>
      <c r="L6">
        <v>37.799999999999997</v>
      </c>
      <c r="M6">
        <v>38.299999999999997</v>
      </c>
      <c r="N6">
        <v>37.799999999999997</v>
      </c>
      <c r="O6">
        <v>38.799999999999997</v>
      </c>
      <c r="S6" t="s">
        <v>4</v>
      </c>
      <c r="T6">
        <v>16.5</v>
      </c>
      <c r="U6">
        <v>11.4</v>
      </c>
      <c r="V6">
        <v>9</v>
      </c>
      <c r="W6">
        <v>11</v>
      </c>
      <c r="X6">
        <v>12.8</v>
      </c>
      <c r="AB6" t="s">
        <v>4</v>
      </c>
      <c r="AC6">
        <v>17</v>
      </c>
      <c r="AD6">
        <v>15.7</v>
      </c>
      <c r="AE6">
        <v>17.5</v>
      </c>
      <c r="AF6">
        <v>18</v>
      </c>
      <c r="AG6">
        <v>18</v>
      </c>
    </row>
    <row r="7" spans="1:35" x14ac:dyDescent="0.2">
      <c r="A7" t="s">
        <v>27</v>
      </c>
      <c r="J7" t="s">
        <v>27</v>
      </c>
    </row>
    <row r="8" spans="1:35" x14ac:dyDescent="0.2">
      <c r="A8" t="s">
        <v>2</v>
      </c>
      <c r="B8">
        <f>1-B4/B3</f>
        <v>0.84653465346534651</v>
      </c>
      <c r="C8">
        <f>1-C4/C3</f>
        <v>9.0909090909090939E-2</v>
      </c>
      <c r="D8">
        <f>1-D4/D3</f>
        <v>3.6437246963562653E-2</v>
      </c>
      <c r="E8">
        <f>1-E4/E3</f>
        <v>1.2658227848101333E-2</v>
      </c>
      <c r="F8">
        <f>1-F4/F3</f>
        <v>6.4000000000000057E-2</v>
      </c>
      <c r="J8" t="s">
        <v>2</v>
      </c>
      <c r="K8">
        <f t="shared" ref="K8:AG8" si="0">1-K4/K3</f>
        <v>0.10765550239234456</v>
      </c>
      <c r="L8">
        <f t="shared" si="0"/>
        <v>7.1100917431192734E-2</v>
      </c>
      <c r="M8">
        <f t="shared" si="0"/>
        <v>9.3181818181818254E-2</v>
      </c>
      <c r="N8">
        <f t="shared" si="0"/>
        <v>6.5727699530516492E-2</v>
      </c>
      <c r="O8">
        <f t="shared" si="0"/>
        <v>8.2191780821917693E-2</v>
      </c>
      <c r="T8">
        <f t="shared" si="0"/>
        <v>0.24423963133640558</v>
      </c>
      <c r="U8">
        <f t="shared" si="0"/>
        <v>0.30481283422459893</v>
      </c>
      <c r="V8">
        <f t="shared" si="0"/>
        <v>0.22047244094488183</v>
      </c>
      <c r="W8">
        <f t="shared" si="0"/>
        <v>0.27500000000000002</v>
      </c>
      <c r="X8">
        <f t="shared" si="0"/>
        <v>0.27322404371584696</v>
      </c>
      <c r="AC8">
        <f t="shared" si="0"/>
        <v>4.9504950495048439E-3</v>
      </c>
      <c r="AD8">
        <f t="shared" si="0"/>
        <v>0.12807881773399021</v>
      </c>
      <c r="AE8">
        <f t="shared" si="0"/>
        <v>0.10784313725490191</v>
      </c>
      <c r="AF8">
        <f t="shared" si="0"/>
        <v>0.10047846889952139</v>
      </c>
      <c r="AG8">
        <f t="shared" si="0"/>
        <v>0.13942307692307698</v>
      </c>
    </row>
    <row r="9" spans="1:35" x14ac:dyDescent="0.2">
      <c r="A9" t="s">
        <v>3</v>
      </c>
      <c r="B9">
        <f>1-B5/B3</f>
        <v>0.84653465346534651</v>
      </c>
      <c r="C9">
        <f>1-C5/C3</f>
        <v>5.1383399209486202E-2</v>
      </c>
      <c r="D9">
        <f>1-D5/D3</f>
        <v>4.4534412955465452E-2</v>
      </c>
      <c r="E9">
        <f>1-E5/E3</f>
        <v>0</v>
      </c>
      <c r="F9">
        <f>1-F5/F3</f>
        <v>4.7999999999999932E-2</v>
      </c>
      <c r="J9" t="s">
        <v>3</v>
      </c>
      <c r="K9">
        <f t="shared" ref="K9:AG9" si="1">1-K5/K3</f>
        <v>9.3301435406698552E-2</v>
      </c>
      <c r="L9">
        <f t="shared" si="1"/>
        <v>8.7155963302752437E-2</v>
      </c>
      <c r="M9">
        <f t="shared" si="1"/>
        <v>7.9545454545454586E-2</v>
      </c>
      <c r="N9">
        <f t="shared" si="1"/>
        <v>6.1032863849765251E-2</v>
      </c>
      <c r="O9">
        <f t="shared" si="1"/>
        <v>8.2191780821917693E-2</v>
      </c>
      <c r="T9">
        <f t="shared" si="1"/>
        <v>0.18433179723502302</v>
      </c>
      <c r="U9">
        <f t="shared" si="1"/>
        <v>0.3262032085561497</v>
      </c>
      <c r="V9">
        <f t="shared" si="1"/>
        <v>0.2834645669291338</v>
      </c>
      <c r="W9">
        <f t="shared" si="1"/>
        <v>0.27500000000000002</v>
      </c>
      <c r="X9">
        <f t="shared" si="1"/>
        <v>0.2896174863387978</v>
      </c>
      <c r="AC9">
        <f t="shared" si="1"/>
        <v>6.4356435643564414E-2</v>
      </c>
      <c r="AD9">
        <f t="shared" si="1"/>
        <v>0.14778325123152714</v>
      </c>
      <c r="AE9">
        <f t="shared" si="1"/>
        <v>9.8039215686274495E-2</v>
      </c>
      <c r="AF9">
        <f t="shared" si="1"/>
        <v>9.0909090909090828E-2</v>
      </c>
      <c r="AG9">
        <f t="shared" si="1"/>
        <v>0.10096153846153855</v>
      </c>
    </row>
    <row r="10" spans="1:35" x14ac:dyDescent="0.2">
      <c r="A10" t="s">
        <v>4</v>
      </c>
      <c r="B10">
        <f>1-B6/B3</f>
        <v>0.85643564356435642</v>
      </c>
      <c r="C10">
        <f>1-C6/C3</f>
        <v>0.15415019762845861</v>
      </c>
      <c r="D10">
        <f>1-D6/D3</f>
        <v>0.12550607287449389</v>
      </c>
      <c r="E10">
        <f>1-E6/E3</f>
        <v>8.4388185654008407E-2</v>
      </c>
      <c r="F10">
        <f>1-F6/F3</f>
        <v>9.9999999999999978E-2</v>
      </c>
      <c r="J10" t="s">
        <v>4</v>
      </c>
      <c r="K10">
        <f t="shared" ref="K10:AG10" si="2">1-K6/K3</f>
        <v>0.15550239234449759</v>
      </c>
      <c r="L10">
        <f t="shared" si="2"/>
        <v>0.13302752293577991</v>
      </c>
      <c r="M10">
        <f t="shared" si="2"/>
        <v>0.12954545454545463</v>
      </c>
      <c r="N10">
        <f t="shared" si="2"/>
        <v>0.11267605633802824</v>
      </c>
      <c r="O10">
        <f t="shared" si="2"/>
        <v>0.11415525114155256</v>
      </c>
      <c r="T10">
        <f t="shared" si="2"/>
        <v>0.23963133640552992</v>
      </c>
      <c r="U10">
        <f t="shared" si="2"/>
        <v>0.39037433155080214</v>
      </c>
      <c r="V10">
        <f t="shared" si="2"/>
        <v>0.29133858267716528</v>
      </c>
      <c r="W10">
        <f t="shared" si="2"/>
        <v>0.3125</v>
      </c>
      <c r="X10">
        <f t="shared" si="2"/>
        <v>0.30054644808743169</v>
      </c>
      <c r="AC10">
        <f t="shared" si="2"/>
        <v>0.15841584158415833</v>
      </c>
      <c r="AD10">
        <f t="shared" si="2"/>
        <v>0.22660098522167493</v>
      </c>
      <c r="AE10">
        <f t="shared" si="2"/>
        <v>0.14215686274509798</v>
      </c>
      <c r="AF10">
        <f t="shared" si="2"/>
        <v>0.13875598086124397</v>
      </c>
      <c r="AG10">
        <f t="shared" si="2"/>
        <v>0.13461538461538469</v>
      </c>
    </row>
    <row r="12" spans="1:35" x14ac:dyDescent="0.2">
      <c r="A12" s="2" t="s">
        <v>26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26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  <c r="T12" t="s">
        <v>0</v>
      </c>
      <c r="U12" t="s">
        <v>1</v>
      </c>
      <c r="V12" t="s">
        <v>5</v>
      </c>
      <c r="W12" t="s">
        <v>6</v>
      </c>
      <c r="X12" t="s">
        <v>7</v>
      </c>
      <c r="AC12" t="s">
        <v>0</v>
      </c>
      <c r="AD12" t="s">
        <v>1</v>
      </c>
      <c r="AE12" t="s">
        <v>5</v>
      </c>
      <c r="AF12" t="s">
        <v>6</v>
      </c>
      <c r="AG12" t="s">
        <v>7</v>
      </c>
    </row>
    <row r="13" spans="1:35" x14ac:dyDescent="0.2">
      <c r="A13" t="s">
        <v>1</v>
      </c>
      <c r="B13">
        <v>20.2</v>
      </c>
      <c r="C13">
        <v>25.3</v>
      </c>
      <c r="D13">
        <v>25</v>
      </c>
      <c r="E13">
        <v>24.8</v>
      </c>
      <c r="F13">
        <v>24.6</v>
      </c>
      <c r="J13" t="s">
        <v>1</v>
      </c>
      <c r="K13">
        <v>41.8</v>
      </c>
      <c r="L13">
        <v>43.6</v>
      </c>
      <c r="M13">
        <v>42.4</v>
      </c>
      <c r="N13">
        <v>42.4</v>
      </c>
      <c r="O13">
        <v>42.5</v>
      </c>
      <c r="S13" t="s">
        <v>1</v>
      </c>
      <c r="T13">
        <v>21.7</v>
      </c>
      <c r="U13">
        <v>18.7</v>
      </c>
      <c r="V13">
        <v>16.8</v>
      </c>
      <c r="W13">
        <v>16</v>
      </c>
      <c r="X13">
        <v>16.600000000000001</v>
      </c>
      <c r="AB13" t="s">
        <v>1</v>
      </c>
      <c r="AC13">
        <v>20.2</v>
      </c>
      <c r="AD13">
        <v>20.3</v>
      </c>
      <c r="AE13">
        <v>21.1</v>
      </c>
      <c r="AF13">
        <v>20</v>
      </c>
      <c r="AG13">
        <v>20.9</v>
      </c>
    </row>
    <row r="14" spans="1:35" x14ac:dyDescent="0.2">
      <c r="A14" t="s">
        <v>5</v>
      </c>
      <c r="B14">
        <v>2.9</v>
      </c>
      <c r="C14">
        <v>23.6</v>
      </c>
      <c r="D14">
        <v>23.9</v>
      </c>
      <c r="E14">
        <v>23.6</v>
      </c>
      <c r="F14">
        <v>24.2</v>
      </c>
      <c r="J14" t="s">
        <v>5</v>
      </c>
      <c r="K14">
        <v>35.5</v>
      </c>
      <c r="L14">
        <v>39.799999999999997</v>
      </c>
      <c r="M14">
        <v>40.1</v>
      </c>
      <c r="N14">
        <v>39.299999999999997</v>
      </c>
      <c r="O14">
        <v>40.200000000000003</v>
      </c>
      <c r="S14" t="s">
        <v>5</v>
      </c>
      <c r="T14">
        <v>16.600000000000001</v>
      </c>
      <c r="U14">
        <v>12.8</v>
      </c>
      <c r="V14">
        <v>10.8</v>
      </c>
      <c r="W14">
        <v>11</v>
      </c>
      <c r="X14">
        <v>11.5</v>
      </c>
      <c r="AB14" t="s">
        <v>5</v>
      </c>
      <c r="AC14">
        <v>19.100000000000001</v>
      </c>
      <c r="AD14">
        <v>18.399999999999999</v>
      </c>
      <c r="AE14">
        <v>19.7</v>
      </c>
      <c r="AF14">
        <v>19.2</v>
      </c>
      <c r="AG14">
        <v>18.899999999999999</v>
      </c>
    </row>
    <row r="15" spans="1:35" x14ac:dyDescent="0.2">
      <c r="A15" t="s">
        <v>6</v>
      </c>
      <c r="B15">
        <v>3.1</v>
      </c>
      <c r="C15">
        <v>21.2</v>
      </c>
      <c r="D15">
        <v>21.4</v>
      </c>
      <c r="E15">
        <v>20.7</v>
      </c>
      <c r="F15">
        <v>20.9</v>
      </c>
      <c r="J15" t="s">
        <v>6</v>
      </c>
      <c r="K15">
        <v>36.200000000000003</v>
      </c>
      <c r="L15">
        <v>40</v>
      </c>
      <c r="M15">
        <v>39.5</v>
      </c>
      <c r="N15">
        <v>39.299999999999997</v>
      </c>
      <c r="O15">
        <v>39.6</v>
      </c>
      <c r="S15" t="s">
        <v>6</v>
      </c>
      <c r="T15">
        <v>16.5</v>
      </c>
      <c r="U15">
        <v>13.1</v>
      </c>
      <c r="V15">
        <v>10.8</v>
      </c>
      <c r="W15">
        <v>11.2</v>
      </c>
      <c r="X15">
        <v>11.6</v>
      </c>
      <c r="AB15" t="s">
        <v>6</v>
      </c>
      <c r="AC15">
        <v>19.8</v>
      </c>
      <c r="AD15">
        <v>18.600000000000001</v>
      </c>
      <c r="AE15">
        <v>19.8</v>
      </c>
      <c r="AF15">
        <v>18.8</v>
      </c>
      <c r="AG15">
        <v>18.600000000000001</v>
      </c>
    </row>
    <row r="16" spans="1:35" x14ac:dyDescent="0.2">
      <c r="A16" t="s">
        <v>7</v>
      </c>
      <c r="B16">
        <v>2.1</v>
      </c>
      <c r="C16">
        <v>20.8</v>
      </c>
      <c r="D16">
        <v>20.6</v>
      </c>
      <c r="E16">
        <v>20.7</v>
      </c>
      <c r="F16">
        <v>20.8</v>
      </c>
      <c r="J16" t="s">
        <v>7</v>
      </c>
      <c r="K16">
        <v>33.700000000000003</v>
      </c>
      <c r="L16">
        <v>35.4</v>
      </c>
      <c r="M16">
        <v>35.799999999999997</v>
      </c>
      <c r="N16">
        <v>35.299999999999997</v>
      </c>
      <c r="O16">
        <v>36.6</v>
      </c>
      <c r="S16" t="s">
        <v>7</v>
      </c>
      <c r="T16">
        <v>16.399999999999999</v>
      </c>
      <c r="U16">
        <v>12.8</v>
      </c>
      <c r="V16">
        <v>10.6</v>
      </c>
      <c r="W16">
        <v>11</v>
      </c>
      <c r="X16">
        <v>11.6</v>
      </c>
      <c r="AB16" t="s">
        <v>7</v>
      </c>
      <c r="AC16">
        <v>18</v>
      </c>
      <c r="AD16">
        <v>17.600000000000001</v>
      </c>
      <c r="AE16">
        <v>18.5</v>
      </c>
      <c r="AF16">
        <v>17.8</v>
      </c>
      <c r="AG16">
        <v>17.5</v>
      </c>
    </row>
    <row r="17" spans="1:34" x14ac:dyDescent="0.2">
      <c r="A17" t="s">
        <v>27</v>
      </c>
      <c r="J17" t="s">
        <v>27</v>
      </c>
    </row>
    <row r="18" spans="1:34" x14ac:dyDescent="0.2">
      <c r="A18" t="s">
        <v>5</v>
      </c>
      <c r="B18">
        <f>1-B14/B13</f>
        <v>0.85643564356435642</v>
      </c>
      <c r="C18">
        <f>1-C14/C13</f>
        <v>6.7193675889328008E-2</v>
      </c>
      <c r="D18">
        <f>1-D14/D13</f>
        <v>4.4000000000000039E-2</v>
      </c>
      <c r="E18">
        <f>1-E14/E13</f>
        <v>4.8387096774193505E-2</v>
      </c>
      <c r="F18">
        <f>1-F14/F13</f>
        <v>1.6260162601626105E-2</v>
      </c>
      <c r="J18" t="s">
        <v>5</v>
      </c>
      <c r="K18">
        <f t="shared" ref="K18:AG18" si="3">1-K14/K13</f>
        <v>0.15071770334928225</v>
      </c>
      <c r="L18">
        <f t="shared" si="3"/>
        <v>8.7155963302752437E-2</v>
      </c>
      <c r="M18">
        <f t="shared" si="3"/>
        <v>5.4245283018867885E-2</v>
      </c>
      <c r="N18">
        <f t="shared" si="3"/>
        <v>7.3113207547169878E-2</v>
      </c>
      <c r="O18">
        <f t="shared" si="3"/>
        <v>5.4117647058823493E-2</v>
      </c>
      <c r="T18">
        <f t="shared" si="3"/>
        <v>0.23502304147465425</v>
      </c>
      <c r="U18">
        <f t="shared" si="3"/>
        <v>0.31550802139037426</v>
      </c>
      <c r="V18">
        <f t="shared" si="3"/>
        <v>0.3571428571428571</v>
      </c>
      <c r="W18">
        <f t="shared" si="3"/>
        <v>0.3125</v>
      </c>
      <c r="X18">
        <f t="shared" si="3"/>
        <v>0.30722891566265065</v>
      </c>
      <c r="AC18">
        <f t="shared" si="3"/>
        <v>5.4455445544554393E-2</v>
      </c>
      <c r="AD18">
        <f t="shared" si="3"/>
        <v>9.35960591133006E-2</v>
      </c>
      <c r="AE18">
        <f t="shared" si="3"/>
        <v>6.6350710900474064E-2</v>
      </c>
      <c r="AF18">
        <f t="shared" si="3"/>
        <v>4.0000000000000036E-2</v>
      </c>
      <c r="AG18">
        <f t="shared" si="3"/>
        <v>9.5693779904306275E-2</v>
      </c>
    </row>
    <row r="19" spans="1:34" x14ac:dyDescent="0.2">
      <c r="A19" t="s">
        <v>6</v>
      </c>
      <c r="B19">
        <f>1-B15/B13</f>
        <v>0.84653465346534651</v>
      </c>
      <c r="C19">
        <f>1-C15/C13</f>
        <v>0.16205533596837951</v>
      </c>
      <c r="D19">
        <f>1-D15/D13</f>
        <v>0.14400000000000002</v>
      </c>
      <c r="E19">
        <f>1-E15/E13</f>
        <v>0.16532258064516137</v>
      </c>
      <c r="F19">
        <f>1-F15/F13</f>
        <v>0.15040650406504075</v>
      </c>
      <c r="J19" t="s">
        <v>6</v>
      </c>
      <c r="K19">
        <f t="shared" ref="K19:AG19" si="4">1-K15/K13</f>
        <v>0.13397129186602863</v>
      </c>
      <c r="L19">
        <f t="shared" si="4"/>
        <v>8.2568807339449601E-2</v>
      </c>
      <c r="M19">
        <f t="shared" si="4"/>
        <v>6.8396226415094352E-2</v>
      </c>
      <c r="N19">
        <f t="shared" si="4"/>
        <v>7.3113207547169878E-2</v>
      </c>
      <c r="O19">
        <f t="shared" si="4"/>
        <v>6.8235294117647061E-2</v>
      </c>
      <c r="T19">
        <f t="shared" si="4"/>
        <v>0.23963133640552992</v>
      </c>
      <c r="U19">
        <f t="shared" si="4"/>
        <v>0.29946524064171121</v>
      </c>
      <c r="V19">
        <f t="shared" si="4"/>
        <v>0.3571428571428571</v>
      </c>
      <c r="W19">
        <f t="shared" si="4"/>
        <v>0.30000000000000004</v>
      </c>
      <c r="X19">
        <f t="shared" si="4"/>
        <v>0.30120481927710852</v>
      </c>
      <c r="AC19">
        <f t="shared" si="4"/>
        <v>1.9801980198019709E-2</v>
      </c>
      <c r="AD19">
        <f t="shared" si="4"/>
        <v>8.3743842364532028E-2</v>
      </c>
      <c r="AE19">
        <f t="shared" si="4"/>
        <v>6.1611374407583019E-2</v>
      </c>
      <c r="AF19">
        <f t="shared" si="4"/>
        <v>5.9999999999999942E-2</v>
      </c>
      <c r="AG19">
        <f t="shared" si="4"/>
        <v>0.11004784688995206</v>
      </c>
    </row>
    <row r="20" spans="1:34" x14ac:dyDescent="0.2">
      <c r="A20" t="s">
        <v>7</v>
      </c>
      <c r="B20">
        <f>1-B16/B13</f>
        <v>0.89603960396039606</v>
      </c>
      <c r="C20">
        <f>1-C16/C13</f>
        <v>0.17786561264822132</v>
      </c>
      <c r="D20">
        <f>1-D16/D13</f>
        <v>0.17599999999999993</v>
      </c>
      <c r="E20">
        <f>1-E16/E13</f>
        <v>0.16532258064516137</v>
      </c>
      <c r="F20">
        <f>1-F16/F13</f>
        <v>0.15447154471544722</v>
      </c>
      <c r="J20" t="s">
        <v>7</v>
      </c>
      <c r="K20">
        <f t="shared" ref="K20:AG20" si="5">1-K16/K13</f>
        <v>0.19377990430621994</v>
      </c>
      <c r="L20">
        <f t="shared" si="5"/>
        <v>0.18807339449541294</v>
      </c>
      <c r="M20">
        <f t="shared" si="5"/>
        <v>0.15566037735849059</v>
      </c>
      <c r="N20">
        <f t="shared" si="5"/>
        <v>0.16745283018867929</v>
      </c>
      <c r="O20">
        <f t="shared" si="5"/>
        <v>0.13882352941176468</v>
      </c>
      <c r="T20">
        <f t="shared" si="5"/>
        <v>0.24423963133640558</v>
      </c>
      <c r="U20">
        <f t="shared" si="5"/>
        <v>0.31550802139037426</v>
      </c>
      <c r="V20">
        <f t="shared" si="5"/>
        <v>0.36904761904761907</v>
      </c>
      <c r="W20">
        <f t="shared" si="5"/>
        <v>0.3125</v>
      </c>
      <c r="X20">
        <f t="shared" si="5"/>
        <v>0.30120481927710852</v>
      </c>
      <c r="AC20">
        <f t="shared" si="5"/>
        <v>0.1089108910891089</v>
      </c>
      <c r="AD20">
        <f t="shared" si="5"/>
        <v>0.13300492610837433</v>
      </c>
      <c r="AE20">
        <f t="shared" si="5"/>
        <v>0.12322274881516593</v>
      </c>
      <c r="AF20">
        <f t="shared" si="5"/>
        <v>0.10999999999999999</v>
      </c>
      <c r="AG20">
        <f t="shared" si="5"/>
        <v>0.16267942583732053</v>
      </c>
    </row>
    <row r="22" spans="1:34" x14ac:dyDescent="0.2">
      <c r="A22" s="2" t="s">
        <v>26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26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  <c r="T22" t="s">
        <v>0</v>
      </c>
      <c r="U22" t="s">
        <v>1</v>
      </c>
      <c r="V22" t="s">
        <v>13</v>
      </c>
      <c r="W22" t="s">
        <v>8</v>
      </c>
      <c r="X22" t="s">
        <v>9</v>
      </c>
      <c r="AC22" t="s">
        <v>0</v>
      </c>
      <c r="AD22" t="s">
        <v>1</v>
      </c>
      <c r="AE22" t="s">
        <v>13</v>
      </c>
      <c r="AF22" t="s">
        <v>8</v>
      </c>
      <c r="AG22" t="s">
        <v>9</v>
      </c>
    </row>
    <row r="23" spans="1:34" x14ac:dyDescent="0.2">
      <c r="A23" t="s">
        <v>1</v>
      </c>
      <c r="B23">
        <v>20.2</v>
      </c>
      <c r="C23">
        <v>25.3</v>
      </c>
      <c r="D23">
        <v>24.6</v>
      </c>
      <c r="E23">
        <v>25.1</v>
      </c>
      <c r="F23">
        <v>25.2</v>
      </c>
      <c r="J23" t="s">
        <v>1</v>
      </c>
      <c r="K23">
        <v>41.8</v>
      </c>
      <c r="L23">
        <v>43.6</v>
      </c>
      <c r="M23">
        <v>41.9</v>
      </c>
      <c r="N23">
        <v>42.4</v>
      </c>
      <c r="O23">
        <v>43.5</v>
      </c>
      <c r="S23" t="s">
        <v>1</v>
      </c>
      <c r="T23">
        <v>21.7</v>
      </c>
      <c r="U23">
        <v>18.7</v>
      </c>
      <c r="V23">
        <v>14.6</v>
      </c>
      <c r="W23">
        <v>17.7</v>
      </c>
      <c r="X23">
        <v>17.7</v>
      </c>
      <c r="AB23" t="s">
        <v>1</v>
      </c>
      <c r="AC23">
        <v>20.2</v>
      </c>
      <c r="AD23">
        <v>20.3</v>
      </c>
      <c r="AE23">
        <v>20.7</v>
      </c>
      <c r="AF23">
        <v>20.8</v>
      </c>
      <c r="AG23">
        <v>20.3</v>
      </c>
    </row>
    <row r="24" spans="1:34" x14ac:dyDescent="0.2">
      <c r="A24" t="s">
        <v>13</v>
      </c>
      <c r="B24">
        <v>2.9</v>
      </c>
      <c r="C24">
        <v>23.9</v>
      </c>
      <c r="D24">
        <v>23.1</v>
      </c>
      <c r="E24">
        <v>23.3</v>
      </c>
      <c r="F24">
        <v>23.7</v>
      </c>
      <c r="J24" t="s">
        <v>13</v>
      </c>
      <c r="K24">
        <v>37.1</v>
      </c>
      <c r="L24">
        <v>40.700000000000003</v>
      </c>
      <c r="M24">
        <v>39.5</v>
      </c>
      <c r="N24">
        <v>40.299999999999997</v>
      </c>
      <c r="O24">
        <v>42</v>
      </c>
      <c r="S24" t="s">
        <v>13</v>
      </c>
      <c r="T24">
        <v>16.3</v>
      </c>
      <c r="U24">
        <v>12.3</v>
      </c>
      <c r="V24">
        <v>9.8000000000000007</v>
      </c>
      <c r="W24">
        <v>12.3</v>
      </c>
      <c r="X24">
        <v>12.2</v>
      </c>
      <c r="AB24" t="s">
        <v>13</v>
      </c>
      <c r="AC24">
        <v>19.5</v>
      </c>
      <c r="AD24">
        <v>18.8</v>
      </c>
      <c r="AE24">
        <v>19.8</v>
      </c>
      <c r="AF24">
        <v>19.399999999999999</v>
      </c>
      <c r="AG24">
        <v>19.3</v>
      </c>
    </row>
    <row r="25" spans="1:34" x14ac:dyDescent="0.2">
      <c r="A25" t="s">
        <v>8</v>
      </c>
      <c r="B25">
        <v>3.3</v>
      </c>
      <c r="C25">
        <v>24</v>
      </c>
      <c r="D25">
        <v>24.7</v>
      </c>
      <c r="E25">
        <v>23.7</v>
      </c>
      <c r="F25">
        <v>25.4</v>
      </c>
      <c r="J25" t="s">
        <v>8</v>
      </c>
      <c r="K25">
        <v>36.799999999999997</v>
      </c>
      <c r="L25">
        <v>40.799999999999997</v>
      </c>
      <c r="M25">
        <v>39.5</v>
      </c>
      <c r="N25">
        <v>39.9</v>
      </c>
      <c r="O25">
        <v>41</v>
      </c>
      <c r="S25" t="s">
        <v>8</v>
      </c>
      <c r="T25">
        <v>16.8</v>
      </c>
      <c r="U25">
        <v>13.4</v>
      </c>
      <c r="V25">
        <v>9.8000000000000007</v>
      </c>
      <c r="W25">
        <v>13.4</v>
      </c>
      <c r="X25">
        <v>13.4</v>
      </c>
      <c r="AB25" t="s">
        <v>8</v>
      </c>
      <c r="AC25">
        <v>19.2</v>
      </c>
      <c r="AD25">
        <v>18.5</v>
      </c>
      <c r="AE25">
        <v>19.5</v>
      </c>
      <c r="AF25">
        <v>19.399999999999999</v>
      </c>
      <c r="AG25">
        <v>19.2</v>
      </c>
    </row>
    <row r="26" spans="1:34" x14ac:dyDescent="0.2">
      <c r="A26" t="s">
        <v>9</v>
      </c>
      <c r="B26">
        <v>3.3</v>
      </c>
      <c r="C26">
        <v>24</v>
      </c>
      <c r="D26">
        <v>24.7</v>
      </c>
      <c r="E26">
        <v>23.7</v>
      </c>
      <c r="F26">
        <v>25.4</v>
      </c>
      <c r="J26" t="s">
        <v>9</v>
      </c>
      <c r="K26">
        <v>37.200000000000003</v>
      </c>
      <c r="L26">
        <v>40.1</v>
      </c>
      <c r="M26">
        <v>38.799999999999997</v>
      </c>
      <c r="N26">
        <v>39.4</v>
      </c>
      <c r="O26">
        <v>40.700000000000003</v>
      </c>
      <c r="S26" t="s">
        <v>9</v>
      </c>
      <c r="T26">
        <v>17.100000000000001</v>
      </c>
      <c r="U26">
        <v>13.4</v>
      </c>
      <c r="V26">
        <v>9.9</v>
      </c>
      <c r="W26">
        <v>13.5</v>
      </c>
      <c r="X26">
        <v>13.4</v>
      </c>
      <c r="AB26" t="s">
        <v>9</v>
      </c>
      <c r="AC26">
        <v>19.2</v>
      </c>
      <c r="AD26">
        <v>18.5</v>
      </c>
      <c r="AE26">
        <v>19.5</v>
      </c>
      <c r="AF26">
        <v>19.399999999999999</v>
      </c>
      <c r="AG26">
        <v>19.2</v>
      </c>
    </row>
    <row r="27" spans="1:34" x14ac:dyDescent="0.2">
      <c r="A27" t="s">
        <v>27</v>
      </c>
      <c r="J27" t="s">
        <v>27</v>
      </c>
    </row>
    <row r="28" spans="1:34" x14ac:dyDescent="0.2">
      <c r="A28" t="s">
        <v>13</v>
      </c>
      <c r="B28">
        <f>1-B24/B23</f>
        <v>0.85643564356435642</v>
      </c>
      <c r="C28">
        <f>1-C24/C23</f>
        <v>5.5335968379446765E-2</v>
      </c>
      <c r="D28">
        <f>1-D24/D23</f>
        <v>6.0975609756097504E-2</v>
      </c>
      <c r="E28">
        <f>1-E24/E23</f>
        <v>7.1713147410358613E-2</v>
      </c>
      <c r="F28">
        <f>1-F24/F23</f>
        <v>5.9523809523809534E-2</v>
      </c>
      <c r="J28" t="s">
        <v>13</v>
      </c>
      <c r="K28">
        <f t="shared" ref="K28:AG28" si="6">1-K24/K23</f>
        <v>0.11244019138755967</v>
      </c>
      <c r="L28">
        <f t="shared" si="6"/>
        <v>6.6513761467889898E-2</v>
      </c>
      <c r="M28">
        <f t="shared" si="6"/>
        <v>5.727923627684961E-2</v>
      </c>
      <c r="N28">
        <f t="shared" si="6"/>
        <v>4.952830188679247E-2</v>
      </c>
      <c r="O28">
        <f t="shared" si="6"/>
        <v>3.4482758620689613E-2</v>
      </c>
      <c r="T28">
        <f t="shared" si="6"/>
        <v>0.24884792626728103</v>
      </c>
      <c r="U28">
        <f t="shared" si="6"/>
        <v>0.34224598930481276</v>
      </c>
      <c r="V28">
        <f t="shared" si="6"/>
        <v>0.32876712328767121</v>
      </c>
      <c r="W28">
        <f t="shared" si="6"/>
        <v>0.30508474576271183</v>
      </c>
      <c r="X28">
        <f t="shared" si="6"/>
        <v>0.31073446327683618</v>
      </c>
      <c r="AC28">
        <f t="shared" si="6"/>
        <v>3.4653465346534573E-2</v>
      </c>
      <c r="AD28">
        <f t="shared" si="6"/>
        <v>7.3891625615763568E-2</v>
      </c>
      <c r="AE28">
        <f t="shared" si="6"/>
        <v>4.3478260869565188E-2</v>
      </c>
      <c r="AF28">
        <f t="shared" si="6"/>
        <v>6.7307692307692402E-2</v>
      </c>
      <c r="AG28">
        <f t="shared" si="6"/>
        <v>4.9261083743842415E-2</v>
      </c>
    </row>
    <row r="29" spans="1:34" x14ac:dyDescent="0.2">
      <c r="A29" t="s">
        <v>8</v>
      </c>
      <c r="B29">
        <f>1-B25/B23</f>
        <v>0.8366336633663366</v>
      </c>
      <c r="C29">
        <f>1-C25/C23</f>
        <v>5.1383399209486202E-2</v>
      </c>
      <c r="D29">
        <f>1-D25/D23</f>
        <v>-4.0650406504063596E-3</v>
      </c>
      <c r="E29">
        <f>1-E25/E23</f>
        <v>5.5776892430278946E-2</v>
      </c>
      <c r="F29">
        <f>1-F25/F23</f>
        <v>-7.9365079365079083E-3</v>
      </c>
      <c r="J29" t="s">
        <v>8</v>
      </c>
      <c r="K29">
        <f t="shared" ref="K29:AG29" si="7">1-K25/K23</f>
        <v>0.11961722488038273</v>
      </c>
      <c r="L29">
        <f t="shared" si="7"/>
        <v>6.4220183486238591E-2</v>
      </c>
      <c r="M29">
        <f t="shared" si="7"/>
        <v>5.727923627684961E-2</v>
      </c>
      <c r="N29">
        <f t="shared" si="7"/>
        <v>5.8962264150943411E-2</v>
      </c>
      <c r="O29">
        <f t="shared" si="7"/>
        <v>5.7471264367816133E-2</v>
      </c>
      <c r="T29">
        <f t="shared" si="7"/>
        <v>0.22580645161290314</v>
      </c>
      <c r="U29">
        <f t="shared" si="7"/>
        <v>0.28342245989304804</v>
      </c>
      <c r="V29">
        <f t="shared" si="7"/>
        <v>0.32876712328767121</v>
      </c>
      <c r="W29">
        <f t="shared" si="7"/>
        <v>0.24293785310734461</v>
      </c>
      <c r="X29">
        <f t="shared" si="7"/>
        <v>0.24293785310734461</v>
      </c>
      <c r="AC29">
        <f t="shared" si="7"/>
        <v>4.9504950495049549E-2</v>
      </c>
      <c r="AD29">
        <f t="shared" si="7"/>
        <v>8.8669950738916259E-2</v>
      </c>
      <c r="AE29">
        <f t="shared" si="7"/>
        <v>5.7971014492753548E-2</v>
      </c>
      <c r="AF29">
        <f t="shared" si="7"/>
        <v>6.7307692307692402E-2</v>
      </c>
      <c r="AG29">
        <f t="shared" si="7"/>
        <v>5.4187192118226646E-2</v>
      </c>
    </row>
    <row r="30" spans="1:34" x14ac:dyDescent="0.2">
      <c r="A30" t="s">
        <v>9</v>
      </c>
      <c r="B30">
        <f>1-B26/B23</f>
        <v>0.8366336633663366</v>
      </c>
      <c r="C30">
        <f>1-C26/C23</f>
        <v>5.1383399209486202E-2</v>
      </c>
      <c r="D30">
        <f>1-D26/D23</f>
        <v>-4.0650406504063596E-3</v>
      </c>
      <c r="E30">
        <f>1-E26/E23</f>
        <v>5.5776892430278946E-2</v>
      </c>
      <c r="F30">
        <f>1-F26/F23</f>
        <v>-7.9365079365079083E-3</v>
      </c>
      <c r="J30" t="s">
        <v>9</v>
      </c>
      <c r="K30">
        <f t="shared" ref="K30:AG30" si="8">1-K26/K23</f>
        <v>0.11004784688995206</v>
      </c>
      <c r="L30">
        <f t="shared" si="8"/>
        <v>8.0275229357798183E-2</v>
      </c>
      <c r="M30">
        <f t="shared" si="8"/>
        <v>7.3985680190930769E-2</v>
      </c>
      <c r="N30">
        <f t="shared" si="8"/>
        <v>7.0754716981132115E-2</v>
      </c>
      <c r="O30">
        <f t="shared" si="8"/>
        <v>6.4367816091953967E-2</v>
      </c>
      <c r="T30">
        <f t="shared" si="8"/>
        <v>0.21198156682027636</v>
      </c>
      <c r="U30">
        <f t="shared" si="8"/>
        <v>0.28342245989304804</v>
      </c>
      <c r="V30">
        <f t="shared" si="8"/>
        <v>0.32191780821917804</v>
      </c>
      <c r="W30">
        <f t="shared" si="8"/>
        <v>0.23728813559322026</v>
      </c>
      <c r="X30">
        <f t="shared" si="8"/>
        <v>0.24293785310734461</v>
      </c>
      <c r="AC30">
        <f t="shared" si="8"/>
        <v>4.9504950495049549E-2</v>
      </c>
      <c r="AD30">
        <f t="shared" si="8"/>
        <v>8.8669950738916259E-2</v>
      </c>
      <c r="AE30">
        <f t="shared" si="8"/>
        <v>5.7971014492753548E-2</v>
      </c>
      <c r="AF30">
        <f t="shared" si="8"/>
        <v>6.7307692307692402E-2</v>
      </c>
      <c r="AG30">
        <f t="shared" si="8"/>
        <v>5.4187192118226646E-2</v>
      </c>
    </row>
    <row r="32" spans="1:34" x14ac:dyDescent="0.2">
      <c r="A32" s="2" t="s">
        <v>26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26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  <c r="T32" t="s">
        <v>0</v>
      </c>
      <c r="U32" t="s">
        <v>1</v>
      </c>
      <c r="V32" t="s">
        <v>10</v>
      </c>
      <c r="W32" t="s">
        <v>11</v>
      </c>
      <c r="X32" t="s">
        <v>12</v>
      </c>
      <c r="Y32" t="s">
        <v>14</v>
      </c>
      <c r="AC32" t="s">
        <v>0</v>
      </c>
      <c r="AD32" t="s">
        <v>1</v>
      </c>
      <c r="AE32" t="s">
        <v>10</v>
      </c>
      <c r="AF32" t="s">
        <v>11</v>
      </c>
      <c r="AG32" t="s">
        <v>12</v>
      </c>
      <c r="AH32" t="s">
        <v>14</v>
      </c>
    </row>
    <row r="33" spans="1:35" x14ac:dyDescent="0.2">
      <c r="A33" t="s">
        <v>1</v>
      </c>
      <c r="B33">
        <v>20.2</v>
      </c>
      <c r="C33">
        <v>25.3</v>
      </c>
      <c r="D33">
        <v>24.4</v>
      </c>
      <c r="E33">
        <v>24.6</v>
      </c>
      <c r="F33">
        <v>24.8</v>
      </c>
      <c r="G33">
        <v>24.3</v>
      </c>
      <c r="J33" t="s">
        <v>1</v>
      </c>
      <c r="K33">
        <v>41.8</v>
      </c>
      <c r="L33">
        <v>43.6</v>
      </c>
      <c r="M33">
        <v>43.1</v>
      </c>
      <c r="N33">
        <v>42.6</v>
      </c>
      <c r="O33">
        <v>43.4</v>
      </c>
      <c r="P33">
        <v>42.3</v>
      </c>
      <c r="S33" t="s">
        <v>1</v>
      </c>
      <c r="T33">
        <v>21.7</v>
      </c>
      <c r="U33">
        <v>18.7</v>
      </c>
      <c r="V33">
        <v>15.7</v>
      </c>
      <c r="W33">
        <v>13</v>
      </c>
      <c r="X33">
        <v>14.8</v>
      </c>
      <c r="Y33">
        <v>17.7</v>
      </c>
      <c r="AB33" t="s">
        <v>1</v>
      </c>
      <c r="AC33">
        <v>20.2</v>
      </c>
      <c r="AD33">
        <v>20.3</v>
      </c>
      <c r="AE33">
        <v>21.1</v>
      </c>
      <c r="AF33">
        <v>20.100000000000001</v>
      </c>
      <c r="AG33">
        <v>20.7</v>
      </c>
      <c r="AH33">
        <v>20.9</v>
      </c>
    </row>
    <row r="34" spans="1:35" x14ac:dyDescent="0.2">
      <c r="A34" t="s">
        <v>10</v>
      </c>
      <c r="B34">
        <v>2.9</v>
      </c>
      <c r="C34">
        <v>21.8</v>
      </c>
      <c r="D34">
        <v>23.1</v>
      </c>
      <c r="E34">
        <v>21.5</v>
      </c>
      <c r="F34">
        <v>22.3</v>
      </c>
      <c r="G34">
        <v>23</v>
      </c>
      <c r="J34" t="s">
        <v>10</v>
      </c>
      <c r="K34">
        <v>36</v>
      </c>
      <c r="L34">
        <v>37.700000000000003</v>
      </c>
      <c r="M34">
        <v>39.700000000000003</v>
      </c>
      <c r="N34">
        <v>38.200000000000003</v>
      </c>
      <c r="O34">
        <v>39.200000000000003</v>
      </c>
      <c r="P34">
        <v>37.9</v>
      </c>
      <c r="S34" t="s">
        <v>10</v>
      </c>
      <c r="T34">
        <v>18.399999999999999</v>
      </c>
      <c r="U34">
        <v>12.2</v>
      </c>
      <c r="V34">
        <v>10.7</v>
      </c>
      <c r="W34">
        <v>9.4</v>
      </c>
      <c r="X34">
        <v>10.5</v>
      </c>
      <c r="Y34">
        <v>12.7</v>
      </c>
      <c r="AB34" t="s">
        <v>10</v>
      </c>
      <c r="AC34">
        <v>19.100000000000001</v>
      </c>
      <c r="AD34">
        <v>15.1</v>
      </c>
      <c r="AE34">
        <v>17.3</v>
      </c>
      <c r="AF34">
        <v>16.100000000000001</v>
      </c>
      <c r="AG34">
        <v>16.600000000000001</v>
      </c>
      <c r="AH34">
        <v>17.5</v>
      </c>
    </row>
    <row r="35" spans="1:35" x14ac:dyDescent="0.2">
      <c r="A35" t="s">
        <v>11</v>
      </c>
      <c r="B35">
        <v>2.7</v>
      </c>
      <c r="C35">
        <v>22.1</v>
      </c>
      <c r="D35">
        <v>22.9</v>
      </c>
      <c r="E35">
        <v>21.9</v>
      </c>
      <c r="F35">
        <v>22.4</v>
      </c>
      <c r="G35">
        <v>22.5</v>
      </c>
      <c r="J35" t="s">
        <v>11</v>
      </c>
      <c r="K35">
        <v>34.6</v>
      </c>
      <c r="L35">
        <v>37.6</v>
      </c>
      <c r="M35">
        <v>38</v>
      </c>
      <c r="N35">
        <v>38.700000000000003</v>
      </c>
      <c r="O35">
        <v>38.5</v>
      </c>
      <c r="P35">
        <v>37.9</v>
      </c>
      <c r="S35" t="s">
        <v>11</v>
      </c>
      <c r="T35">
        <v>16.3</v>
      </c>
      <c r="U35">
        <v>12.8</v>
      </c>
      <c r="V35">
        <v>10.8</v>
      </c>
      <c r="W35">
        <v>9.8000000000000007</v>
      </c>
      <c r="X35">
        <v>11.3</v>
      </c>
      <c r="Y35">
        <v>12.9</v>
      </c>
      <c r="AB35" t="s">
        <v>11</v>
      </c>
      <c r="AC35">
        <v>18.3</v>
      </c>
      <c r="AD35">
        <v>17.899999999999999</v>
      </c>
      <c r="AE35">
        <v>19.3</v>
      </c>
      <c r="AF35">
        <v>18.600000000000001</v>
      </c>
      <c r="AG35">
        <v>18.8</v>
      </c>
      <c r="AH35">
        <v>19</v>
      </c>
    </row>
    <row r="36" spans="1:35" x14ac:dyDescent="0.2">
      <c r="A36" t="s">
        <v>12</v>
      </c>
      <c r="B36">
        <v>3.3</v>
      </c>
      <c r="C36">
        <v>23.2</v>
      </c>
      <c r="D36">
        <v>23.8</v>
      </c>
      <c r="E36">
        <v>22.9</v>
      </c>
      <c r="F36">
        <v>23.8</v>
      </c>
      <c r="G36">
        <v>23.4</v>
      </c>
      <c r="J36" t="s">
        <v>12</v>
      </c>
      <c r="K36">
        <v>37.200000000000003</v>
      </c>
      <c r="L36">
        <v>39.9</v>
      </c>
      <c r="M36">
        <v>40.5</v>
      </c>
      <c r="N36">
        <v>40.4</v>
      </c>
      <c r="O36">
        <v>41</v>
      </c>
      <c r="P36">
        <v>39.9</v>
      </c>
      <c r="S36" t="s">
        <v>12</v>
      </c>
      <c r="T36">
        <v>16.2</v>
      </c>
      <c r="U36">
        <v>12.8</v>
      </c>
      <c r="V36">
        <v>10.5</v>
      </c>
      <c r="W36">
        <v>9.9</v>
      </c>
      <c r="X36">
        <v>11.3</v>
      </c>
      <c r="Y36">
        <v>12.7</v>
      </c>
      <c r="AB36" t="s">
        <v>12</v>
      </c>
      <c r="AC36">
        <v>18.399999999999999</v>
      </c>
      <c r="AD36">
        <v>18.100000000000001</v>
      </c>
      <c r="AE36">
        <v>18.8</v>
      </c>
      <c r="AF36">
        <v>18.600000000000001</v>
      </c>
      <c r="AG36">
        <v>19.100000000000001</v>
      </c>
      <c r="AH36">
        <v>18.899999999999999</v>
      </c>
    </row>
    <row r="37" spans="1:35" x14ac:dyDescent="0.2">
      <c r="A37" t="s">
        <v>14</v>
      </c>
      <c r="B37">
        <v>3.1</v>
      </c>
      <c r="C37">
        <v>23.6</v>
      </c>
      <c r="D37">
        <v>23.9</v>
      </c>
      <c r="E37">
        <v>22.3</v>
      </c>
      <c r="F37">
        <v>23</v>
      </c>
      <c r="G37">
        <v>23.8</v>
      </c>
      <c r="J37" t="s">
        <v>14</v>
      </c>
      <c r="K37">
        <v>35.6</v>
      </c>
      <c r="L37">
        <v>38.1</v>
      </c>
      <c r="M37">
        <v>38.200000000000003</v>
      </c>
      <c r="N37">
        <v>37.6</v>
      </c>
      <c r="O37">
        <v>38.299999999999997</v>
      </c>
      <c r="P37">
        <v>37.6</v>
      </c>
      <c r="S37" t="s">
        <v>14</v>
      </c>
      <c r="T37">
        <v>15.9</v>
      </c>
      <c r="U37">
        <v>13.3</v>
      </c>
      <c r="V37">
        <v>10.3</v>
      </c>
      <c r="W37">
        <v>10.1</v>
      </c>
      <c r="X37">
        <v>10.9</v>
      </c>
      <c r="Y37">
        <v>12.5</v>
      </c>
      <c r="AB37" t="s">
        <v>14</v>
      </c>
      <c r="AC37">
        <v>18.100000000000001</v>
      </c>
      <c r="AD37">
        <v>16.8</v>
      </c>
      <c r="AE37">
        <v>18</v>
      </c>
      <c r="AF37">
        <v>17.7</v>
      </c>
      <c r="AG37">
        <v>17.8</v>
      </c>
      <c r="AH37">
        <v>18.2</v>
      </c>
    </row>
    <row r="38" spans="1:35" x14ac:dyDescent="0.2">
      <c r="A38" t="s">
        <v>27</v>
      </c>
      <c r="J38" t="s">
        <v>27</v>
      </c>
    </row>
    <row r="39" spans="1:35" x14ac:dyDescent="0.2">
      <c r="A39" t="s">
        <v>10</v>
      </c>
      <c r="B39">
        <f>1-B34/B33</f>
        <v>0.85643564356435642</v>
      </c>
      <c r="C39">
        <f t="shared" ref="C39:G39" si="9">1-C34/C33</f>
        <v>0.13833992094861658</v>
      </c>
      <c r="D39">
        <f t="shared" si="9"/>
        <v>5.3278688524590057E-2</v>
      </c>
      <c r="E39">
        <f t="shared" si="9"/>
        <v>0.1260162601626017</v>
      </c>
      <c r="F39">
        <f t="shared" si="9"/>
        <v>0.10080645161290325</v>
      </c>
      <c r="G39">
        <f t="shared" si="9"/>
        <v>5.3497942386831254E-2</v>
      </c>
      <c r="J39" t="s">
        <v>10</v>
      </c>
      <c r="K39">
        <f t="shared" ref="K39:AH39" si="10">1-K34/K33</f>
        <v>0.13875598086124397</v>
      </c>
      <c r="L39">
        <f t="shared" si="10"/>
        <v>0.1353211009174311</v>
      </c>
      <c r="M39">
        <f t="shared" si="10"/>
        <v>7.8886310904872303E-2</v>
      </c>
      <c r="N39">
        <f t="shared" si="10"/>
        <v>0.10328638497652576</v>
      </c>
      <c r="O39">
        <f t="shared" si="10"/>
        <v>9.6774193548387011E-2</v>
      </c>
      <c r="P39">
        <f t="shared" si="10"/>
        <v>0.10401891252955076</v>
      </c>
      <c r="T39">
        <f t="shared" si="10"/>
        <v>0.15207373271889402</v>
      </c>
      <c r="U39">
        <f t="shared" si="10"/>
        <v>0.34759358288770059</v>
      </c>
      <c r="V39">
        <f t="shared" si="10"/>
        <v>0.31847133757961787</v>
      </c>
      <c r="W39">
        <f t="shared" si="10"/>
        <v>0.27692307692307694</v>
      </c>
      <c r="X39">
        <f t="shared" si="10"/>
        <v>0.29054054054054057</v>
      </c>
      <c r="Y39">
        <f t="shared" si="10"/>
        <v>0.28248587570621475</v>
      </c>
      <c r="AC39">
        <f t="shared" si="10"/>
        <v>5.4455445544554393E-2</v>
      </c>
      <c r="AD39">
        <f t="shared" si="10"/>
        <v>0.25615763546798032</v>
      </c>
      <c r="AE39">
        <f t="shared" si="10"/>
        <v>0.18009478672985779</v>
      </c>
      <c r="AF39">
        <f t="shared" si="10"/>
        <v>0.19900497512437809</v>
      </c>
      <c r="AG39">
        <f t="shared" si="10"/>
        <v>0.19806763285024143</v>
      </c>
      <c r="AH39">
        <f t="shared" si="10"/>
        <v>0.16267942583732053</v>
      </c>
    </row>
    <row r="40" spans="1:35" x14ac:dyDescent="0.2">
      <c r="A40" t="s">
        <v>11</v>
      </c>
      <c r="B40">
        <f>1-B35/B33</f>
        <v>0.86633663366336633</v>
      </c>
      <c r="C40">
        <f t="shared" ref="C40:G40" si="11">1-C35/C33</f>
        <v>0.12648221343873511</v>
      </c>
      <c r="D40">
        <f t="shared" si="11"/>
        <v>6.1475409836065587E-2</v>
      </c>
      <c r="E40">
        <f t="shared" si="11"/>
        <v>0.10975609756097571</v>
      </c>
      <c r="F40">
        <f t="shared" si="11"/>
        <v>9.6774193548387233E-2</v>
      </c>
      <c r="G40">
        <f t="shared" si="11"/>
        <v>7.407407407407407E-2</v>
      </c>
      <c r="J40" t="s">
        <v>11</v>
      </c>
      <c r="K40">
        <f t="shared" ref="K40:AH40" si="12">1-K35/K33</f>
        <v>0.1722488038277511</v>
      </c>
      <c r="L40">
        <f t="shared" si="12"/>
        <v>0.13761467889908252</v>
      </c>
      <c r="M40">
        <f t="shared" si="12"/>
        <v>0.11832946635730857</v>
      </c>
      <c r="N40">
        <f t="shared" si="12"/>
        <v>9.1549295774647876E-2</v>
      </c>
      <c r="O40">
        <f t="shared" si="12"/>
        <v>0.11290322580645162</v>
      </c>
      <c r="P40">
        <f t="shared" si="12"/>
        <v>0.10401891252955076</v>
      </c>
      <c r="T40">
        <f t="shared" si="12"/>
        <v>0.24884792626728103</v>
      </c>
      <c r="U40">
        <f t="shared" si="12"/>
        <v>0.31550802139037426</v>
      </c>
      <c r="V40">
        <f t="shared" si="12"/>
        <v>0.31210191082802541</v>
      </c>
      <c r="W40">
        <f t="shared" si="12"/>
        <v>0.24615384615384606</v>
      </c>
      <c r="X40">
        <f t="shared" si="12"/>
        <v>0.23648648648648651</v>
      </c>
      <c r="Y40">
        <f t="shared" si="12"/>
        <v>0.27118644067796605</v>
      </c>
      <c r="AC40">
        <f t="shared" si="12"/>
        <v>9.4059405940594032E-2</v>
      </c>
      <c r="AD40">
        <f t="shared" si="12"/>
        <v>0.11822660098522175</v>
      </c>
      <c r="AE40">
        <f t="shared" si="12"/>
        <v>8.5308056872037907E-2</v>
      </c>
      <c r="AF40">
        <f t="shared" si="12"/>
        <v>7.4626865671641784E-2</v>
      </c>
      <c r="AG40">
        <f t="shared" si="12"/>
        <v>9.1787439613526534E-2</v>
      </c>
      <c r="AH40">
        <f t="shared" si="12"/>
        <v>9.0909090909090828E-2</v>
      </c>
    </row>
    <row r="41" spans="1:35" x14ac:dyDescent="0.2">
      <c r="A41" t="s">
        <v>12</v>
      </c>
      <c r="B41">
        <f>1-B36/B33</f>
        <v>0.8366336633663366</v>
      </c>
      <c r="C41">
        <f t="shared" ref="C41:G41" si="13">1-C36/C33</f>
        <v>8.3003952569170036E-2</v>
      </c>
      <c r="D41">
        <f t="shared" si="13"/>
        <v>2.4590163934426146E-2</v>
      </c>
      <c r="E41">
        <f t="shared" si="13"/>
        <v>6.9105691056910667E-2</v>
      </c>
      <c r="F41">
        <f t="shared" si="13"/>
        <v>4.0322580645161255E-2</v>
      </c>
      <c r="G41">
        <f t="shared" si="13"/>
        <v>3.703703703703709E-2</v>
      </c>
      <c r="J41" t="s">
        <v>12</v>
      </c>
      <c r="K41">
        <f t="shared" ref="K41:AH41" si="14">1-K36/K33</f>
        <v>0.11004784688995206</v>
      </c>
      <c r="L41">
        <f t="shared" si="14"/>
        <v>8.4862385321101019E-2</v>
      </c>
      <c r="M41">
        <f t="shared" si="14"/>
        <v>6.0324825986078912E-2</v>
      </c>
      <c r="N41">
        <f t="shared" si="14"/>
        <v>5.164319248826299E-2</v>
      </c>
      <c r="O41">
        <f t="shared" si="14"/>
        <v>5.5299539170506895E-2</v>
      </c>
      <c r="P41">
        <f t="shared" si="14"/>
        <v>5.673758865248224E-2</v>
      </c>
      <c r="T41">
        <f t="shared" si="14"/>
        <v>0.25345622119815669</v>
      </c>
      <c r="U41">
        <f t="shared" si="14"/>
        <v>0.31550802139037426</v>
      </c>
      <c r="V41">
        <f t="shared" si="14"/>
        <v>0.33121019108280247</v>
      </c>
      <c r="W41">
        <f t="shared" si="14"/>
        <v>0.23846153846153839</v>
      </c>
      <c r="X41">
        <f t="shared" si="14"/>
        <v>0.23648648648648651</v>
      </c>
      <c r="Y41">
        <f t="shared" si="14"/>
        <v>0.28248587570621475</v>
      </c>
      <c r="AC41">
        <f t="shared" si="14"/>
        <v>8.9108910891089188E-2</v>
      </c>
      <c r="AD41">
        <f t="shared" si="14"/>
        <v>0.10837438423645318</v>
      </c>
      <c r="AE41">
        <f t="shared" si="14"/>
        <v>0.10900473933649291</v>
      </c>
      <c r="AF41">
        <f t="shared" si="14"/>
        <v>7.4626865671641784E-2</v>
      </c>
      <c r="AG41">
        <f t="shared" si="14"/>
        <v>7.7294685990338063E-2</v>
      </c>
      <c r="AH41">
        <f t="shared" si="14"/>
        <v>9.5693779904306275E-2</v>
      </c>
    </row>
    <row r="42" spans="1:35" x14ac:dyDescent="0.2">
      <c r="A42" t="s">
        <v>14</v>
      </c>
      <c r="B42">
        <f>1-B37/B33</f>
        <v>0.84653465346534651</v>
      </c>
      <c r="C42">
        <f t="shared" ref="C42:G42" si="15">1-C37/C33</f>
        <v>6.7193675889328008E-2</v>
      </c>
      <c r="D42">
        <f t="shared" si="15"/>
        <v>2.0491803278688492E-2</v>
      </c>
      <c r="E42">
        <f t="shared" si="15"/>
        <v>9.3495934959349603E-2</v>
      </c>
      <c r="F42">
        <f t="shared" si="15"/>
        <v>7.2580645161290369E-2</v>
      </c>
      <c r="G42">
        <f t="shared" si="15"/>
        <v>2.0576131687242816E-2</v>
      </c>
      <c r="J42" t="s">
        <v>14</v>
      </c>
      <c r="K42">
        <f t="shared" ref="K42:AH42" si="16">1-K37/K33</f>
        <v>0.14832535885167453</v>
      </c>
      <c r="L42">
        <f t="shared" si="16"/>
        <v>0.12614678899082565</v>
      </c>
      <c r="M42">
        <f t="shared" si="16"/>
        <v>0.11368909512761016</v>
      </c>
      <c r="N42">
        <f t="shared" si="16"/>
        <v>0.11737089201877937</v>
      </c>
      <c r="O42">
        <f t="shared" si="16"/>
        <v>0.11751152073732718</v>
      </c>
      <c r="P42">
        <f t="shared" si="16"/>
        <v>0.11111111111111105</v>
      </c>
      <c r="T42">
        <f t="shared" si="16"/>
        <v>0.26728110599078336</v>
      </c>
      <c r="U42">
        <f t="shared" si="16"/>
        <v>0.28877005347593576</v>
      </c>
      <c r="V42">
        <f t="shared" si="16"/>
        <v>0.34394904458598718</v>
      </c>
      <c r="W42">
        <f t="shared" si="16"/>
        <v>0.22307692307692306</v>
      </c>
      <c r="X42">
        <f t="shared" si="16"/>
        <v>0.26351351351351349</v>
      </c>
      <c r="Y42">
        <f t="shared" si="16"/>
        <v>0.29378531073446323</v>
      </c>
      <c r="AC42">
        <f t="shared" si="16"/>
        <v>0.10396039603960383</v>
      </c>
      <c r="AD42">
        <f t="shared" si="16"/>
        <v>0.17241379310344829</v>
      </c>
      <c r="AE42">
        <f t="shared" si="16"/>
        <v>0.14691943127962093</v>
      </c>
      <c r="AF42">
        <f t="shared" si="16"/>
        <v>0.11940298507462699</v>
      </c>
      <c r="AG42">
        <f t="shared" si="16"/>
        <v>0.14009661835748788</v>
      </c>
      <c r="AH42">
        <f t="shared" si="16"/>
        <v>0.12918660287081341</v>
      </c>
    </row>
    <row r="45" spans="1:35" x14ac:dyDescent="0.2">
      <c r="A45" s="2" t="s">
        <v>26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26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  <c r="T45" t="s">
        <v>15</v>
      </c>
      <c r="U45" t="s">
        <v>16</v>
      </c>
      <c r="V45" t="s">
        <v>17</v>
      </c>
      <c r="W45" t="s">
        <v>18</v>
      </c>
      <c r="X45" t="s">
        <v>19</v>
      </c>
      <c r="Y45" t="s">
        <v>20</v>
      </c>
      <c r="Z45" t="s">
        <v>21</v>
      </c>
      <c r="AC45" t="s">
        <v>15</v>
      </c>
      <c r="AD45" t="s">
        <v>16</v>
      </c>
      <c r="AE45" t="s">
        <v>17</v>
      </c>
      <c r="AF45" t="s">
        <v>18</v>
      </c>
      <c r="AG45" t="s">
        <v>19</v>
      </c>
      <c r="AH45" t="s">
        <v>20</v>
      </c>
      <c r="AI45" t="s">
        <v>21</v>
      </c>
    </row>
    <row r="46" spans="1:35" x14ac:dyDescent="0.2">
      <c r="A46" t="s">
        <v>1</v>
      </c>
      <c r="B46">
        <v>25.3</v>
      </c>
      <c r="C46">
        <v>25.4</v>
      </c>
      <c r="D46">
        <v>24.8</v>
      </c>
      <c r="E46">
        <v>24.8</v>
      </c>
      <c r="F46">
        <v>23.9</v>
      </c>
      <c r="G46">
        <v>24.6</v>
      </c>
      <c r="H46">
        <v>24.3</v>
      </c>
      <c r="J46" t="s">
        <v>1</v>
      </c>
      <c r="K46">
        <v>43.6</v>
      </c>
      <c r="L46">
        <v>42.1</v>
      </c>
      <c r="M46">
        <v>43.6</v>
      </c>
      <c r="N46">
        <v>40.299999999999997</v>
      </c>
      <c r="O46">
        <v>42.3</v>
      </c>
      <c r="P46">
        <v>42.6</v>
      </c>
      <c r="Q46">
        <v>42.3</v>
      </c>
      <c r="S46" t="s">
        <v>1</v>
      </c>
      <c r="T46">
        <v>18.7</v>
      </c>
      <c r="U46">
        <v>19.7</v>
      </c>
      <c r="V46">
        <v>18.399999999999999</v>
      </c>
      <c r="W46">
        <v>15.7</v>
      </c>
      <c r="X46">
        <v>13.5</v>
      </c>
      <c r="Y46">
        <v>14.2</v>
      </c>
      <c r="Z46">
        <v>17.7</v>
      </c>
      <c r="AB46" t="s">
        <v>1</v>
      </c>
      <c r="AC46">
        <v>20.3</v>
      </c>
      <c r="AD46">
        <v>20.7</v>
      </c>
      <c r="AE46">
        <v>20.9</v>
      </c>
      <c r="AF46">
        <v>20.8</v>
      </c>
      <c r="AG46">
        <v>20.2</v>
      </c>
      <c r="AH46">
        <v>20.9</v>
      </c>
      <c r="AI46">
        <v>20.9</v>
      </c>
    </row>
    <row r="47" spans="1:35" x14ac:dyDescent="0.2">
      <c r="A47" t="s">
        <v>14</v>
      </c>
      <c r="B47">
        <v>23.3</v>
      </c>
      <c r="C47">
        <v>23.3</v>
      </c>
      <c r="D47">
        <v>23.5</v>
      </c>
      <c r="E47">
        <v>23.8</v>
      </c>
      <c r="F47">
        <v>23.2</v>
      </c>
      <c r="G47">
        <v>23.5</v>
      </c>
      <c r="H47">
        <v>23.8</v>
      </c>
      <c r="J47" t="s">
        <v>14</v>
      </c>
      <c r="K47">
        <v>38.1</v>
      </c>
      <c r="L47">
        <v>37.799999999999997</v>
      </c>
      <c r="M47">
        <v>39.4</v>
      </c>
      <c r="N47">
        <v>36.4</v>
      </c>
      <c r="O47">
        <v>38.299999999999997</v>
      </c>
      <c r="P47">
        <v>38</v>
      </c>
      <c r="Q47">
        <v>37.6</v>
      </c>
      <c r="S47" t="s">
        <v>14</v>
      </c>
      <c r="T47">
        <v>13.3</v>
      </c>
      <c r="U47">
        <v>14.8</v>
      </c>
      <c r="V47">
        <v>12.8</v>
      </c>
      <c r="W47">
        <v>12.3</v>
      </c>
      <c r="X47">
        <v>8.8000000000000007</v>
      </c>
      <c r="Y47">
        <v>9.3000000000000007</v>
      </c>
      <c r="Z47">
        <v>12.5</v>
      </c>
      <c r="AB47" t="s">
        <v>14</v>
      </c>
      <c r="AC47">
        <v>16.8</v>
      </c>
      <c r="AD47">
        <v>16.8</v>
      </c>
      <c r="AE47">
        <v>18</v>
      </c>
      <c r="AF47">
        <v>18.100000000000001</v>
      </c>
      <c r="AG47">
        <v>16.399999999999999</v>
      </c>
      <c r="AH47">
        <v>17.399999999999999</v>
      </c>
      <c r="AI47">
        <v>18.2</v>
      </c>
    </row>
    <row r="48" spans="1:35" x14ac:dyDescent="0.2">
      <c r="A48" t="s">
        <v>28</v>
      </c>
      <c r="B48">
        <f>B46-B47</f>
        <v>2</v>
      </c>
      <c r="C48">
        <f t="shared" ref="C48:H48" si="17">C46-C47</f>
        <v>2.0999999999999979</v>
      </c>
      <c r="D48">
        <f t="shared" si="17"/>
        <v>1.3000000000000007</v>
      </c>
      <c r="E48">
        <f t="shared" si="17"/>
        <v>1</v>
      </c>
      <c r="F48">
        <f t="shared" si="17"/>
        <v>0.69999999999999929</v>
      </c>
      <c r="G48">
        <f t="shared" si="17"/>
        <v>1.1000000000000014</v>
      </c>
      <c r="H48">
        <f t="shared" si="17"/>
        <v>0.5</v>
      </c>
      <c r="J48" t="s">
        <v>28</v>
      </c>
      <c r="K48">
        <f t="shared" ref="K48:Q48" si="18">K46-K47</f>
        <v>5.5</v>
      </c>
      <c r="L48">
        <f t="shared" si="18"/>
        <v>4.3000000000000043</v>
      </c>
      <c r="M48">
        <f t="shared" si="18"/>
        <v>4.2000000000000028</v>
      </c>
      <c r="N48">
        <f t="shared" si="18"/>
        <v>3.8999999999999986</v>
      </c>
      <c r="O48">
        <f t="shared" si="18"/>
        <v>4</v>
      </c>
      <c r="P48">
        <f t="shared" si="18"/>
        <v>4.6000000000000014</v>
      </c>
      <c r="Q48">
        <f t="shared" si="18"/>
        <v>4.6999999999999957</v>
      </c>
      <c r="T48">
        <f t="shared" ref="T48:Z48" si="19">T46-T47</f>
        <v>5.3999999999999986</v>
      </c>
      <c r="U48">
        <f t="shared" si="19"/>
        <v>4.8999999999999986</v>
      </c>
      <c r="V48">
        <f t="shared" si="19"/>
        <v>5.5999999999999979</v>
      </c>
      <c r="W48">
        <f t="shared" si="19"/>
        <v>3.3999999999999986</v>
      </c>
      <c r="X48">
        <f t="shared" si="19"/>
        <v>4.6999999999999993</v>
      </c>
      <c r="Y48">
        <f t="shared" si="19"/>
        <v>4.8999999999999986</v>
      </c>
      <c r="Z48">
        <f t="shared" si="19"/>
        <v>5.1999999999999993</v>
      </c>
      <c r="AC48">
        <f t="shared" ref="AC48:AI48" si="20">AC46-AC47</f>
        <v>3.5</v>
      </c>
      <c r="AD48">
        <f t="shared" si="20"/>
        <v>3.8999999999999986</v>
      </c>
      <c r="AE48">
        <f t="shared" si="20"/>
        <v>2.8999999999999986</v>
      </c>
      <c r="AF48">
        <f t="shared" si="20"/>
        <v>2.6999999999999993</v>
      </c>
      <c r="AG48">
        <f t="shared" si="20"/>
        <v>3.8000000000000007</v>
      </c>
      <c r="AH48">
        <f t="shared" si="20"/>
        <v>3.5</v>
      </c>
      <c r="AI48">
        <f t="shared" si="20"/>
        <v>2.6999999999999993</v>
      </c>
    </row>
    <row r="50" spans="1:35" x14ac:dyDescent="0.2">
      <c r="A50" t="s">
        <v>1</v>
      </c>
      <c r="B50">
        <v>25.3</v>
      </c>
      <c r="C50">
        <v>24.5</v>
      </c>
      <c r="D50">
        <v>24.3</v>
      </c>
      <c r="E50">
        <v>25.7</v>
      </c>
      <c r="F50">
        <v>24</v>
      </c>
      <c r="G50">
        <v>23.6</v>
      </c>
      <c r="H50">
        <v>24.3</v>
      </c>
      <c r="J50" t="s">
        <v>1</v>
      </c>
      <c r="K50">
        <v>43.6</v>
      </c>
      <c r="L50">
        <v>41.7</v>
      </c>
      <c r="M50">
        <v>40.200000000000003</v>
      </c>
      <c r="N50">
        <v>43.2</v>
      </c>
      <c r="O50">
        <v>40.6</v>
      </c>
      <c r="P50">
        <v>41.9</v>
      </c>
      <c r="Q50">
        <v>42.3</v>
      </c>
      <c r="S50" t="s">
        <v>1</v>
      </c>
      <c r="T50">
        <v>18.7</v>
      </c>
      <c r="U50">
        <v>13.8</v>
      </c>
      <c r="V50">
        <v>17.2</v>
      </c>
      <c r="W50">
        <v>16.399999999999999</v>
      </c>
      <c r="X50">
        <v>14.8</v>
      </c>
      <c r="Y50">
        <v>14.1</v>
      </c>
      <c r="Z50">
        <v>17.7</v>
      </c>
      <c r="AB50" t="s">
        <v>1</v>
      </c>
      <c r="AC50">
        <v>20.3</v>
      </c>
      <c r="AD50">
        <v>20.7</v>
      </c>
      <c r="AE50">
        <v>20.9</v>
      </c>
      <c r="AF50">
        <v>21.2</v>
      </c>
      <c r="AG50">
        <v>21</v>
      </c>
      <c r="AH50">
        <v>21.3</v>
      </c>
      <c r="AI50">
        <v>20.9</v>
      </c>
    </row>
    <row r="51" spans="1:35" x14ac:dyDescent="0.2">
      <c r="A51" t="s">
        <v>14</v>
      </c>
      <c r="B51">
        <v>23.3</v>
      </c>
      <c r="C51">
        <v>22.9</v>
      </c>
      <c r="D51">
        <v>23.1</v>
      </c>
      <c r="E51">
        <v>24</v>
      </c>
      <c r="F51">
        <v>23.1</v>
      </c>
      <c r="G51">
        <v>22.7</v>
      </c>
      <c r="H51">
        <v>23.8</v>
      </c>
      <c r="J51" t="s">
        <v>14</v>
      </c>
      <c r="K51">
        <v>38.1</v>
      </c>
      <c r="L51">
        <v>38</v>
      </c>
      <c r="M51">
        <v>35.799999999999997</v>
      </c>
      <c r="N51">
        <v>38.700000000000003</v>
      </c>
      <c r="O51">
        <v>36.700000000000003</v>
      </c>
      <c r="P51">
        <v>37.700000000000003</v>
      </c>
      <c r="Q51">
        <v>37.6</v>
      </c>
      <c r="S51" t="s">
        <v>14</v>
      </c>
      <c r="T51">
        <v>13.3</v>
      </c>
      <c r="U51">
        <v>9.6</v>
      </c>
      <c r="V51">
        <v>13.5</v>
      </c>
      <c r="W51">
        <v>11.9</v>
      </c>
      <c r="X51">
        <v>9.6</v>
      </c>
      <c r="Y51">
        <v>9.6</v>
      </c>
      <c r="Z51">
        <v>12.5</v>
      </c>
      <c r="AB51" t="s">
        <v>14</v>
      </c>
      <c r="AC51">
        <v>16.8</v>
      </c>
      <c r="AD51">
        <v>18.100000000000001</v>
      </c>
      <c r="AE51">
        <v>17.7</v>
      </c>
      <c r="AF51">
        <v>18.2</v>
      </c>
      <c r="AG51">
        <v>17.600000000000001</v>
      </c>
      <c r="AH51">
        <v>18.399999999999999</v>
      </c>
      <c r="AI51">
        <v>18.2</v>
      </c>
    </row>
    <row r="52" spans="1:35" x14ac:dyDescent="0.2">
      <c r="A52" t="s">
        <v>28</v>
      </c>
      <c r="B52">
        <f>B50-B51</f>
        <v>2</v>
      </c>
      <c r="C52">
        <f t="shared" ref="C52:H52" si="21">C50-C51</f>
        <v>1.6000000000000014</v>
      </c>
      <c r="D52">
        <f t="shared" si="21"/>
        <v>1.1999999999999993</v>
      </c>
      <c r="E52">
        <f t="shared" si="21"/>
        <v>1.6999999999999993</v>
      </c>
      <c r="F52">
        <f t="shared" si="21"/>
        <v>0.89999999999999858</v>
      </c>
      <c r="G52">
        <f t="shared" si="21"/>
        <v>0.90000000000000213</v>
      </c>
      <c r="H52">
        <f t="shared" si="21"/>
        <v>0.5</v>
      </c>
      <c r="J52" t="s">
        <v>28</v>
      </c>
      <c r="K52">
        <f t="shared" ref="K52:Q52" si="22">K50-K51</f>
        <v>5.5</v>
      </c>
      <c r="L52">
        <f t="shared" si="22"/>
        <v>3.7000000000000028</v>
      </c>
      <c r="M52">
        <f t="shared" si="22"/>
        <v>4.4000000000000057</v>
      </c>
      <c r="N52">
        <f t="shared" si="22"/>
        <v>4.5</v>
      </c>
      <c r="O52">
        <f t="shared" si="22"/>
        <v>3.8999999999999986</v>
      </c>
      <c r="P52">
        <f t="shared" si="22"/>
        <v>4.1999999999999957</v>
      </c>
      <c r="Q52">
        <f t="shared" si="22"/>
        <v>4.6999999999999957</v>
      </c>
      <c r="T52">
        <f t="shared" ref="T52:Z52" si="23">T50-T51</f>
        <v>5.3999999999999986</v>
      </c>
      <c r="U52">
        <f t="shared" si="23"/>
        <v>4.2000000000000011</v>
      </c>
      <c r="V52">
        <f t="shared" si="23"/>
        <v>3.6999999999999993</v>
      </c>
      <c r="W52">
        <f t="shared" si="23"/>
        <v>4.4999999999999982</v>
      </c>
      <c r="X52">
        <f t="shared" si="23"/>
        <v>5.2000000000000011</v>
      </c>
      <c r="Y52">
        <f t="shared" si="23"/>
        <v>4.5</v>
      </c>
      <c r="Z52">
        <f t="shared" si="23"/>
        <v>5.1999999999999993</v>
      </c>
      <c r="AC52">
        <f t="shared" ref="AC52:AI52" si="24">AC50-AC51</f>
        <v>3.5</v>
      </c>
      <c r="AD52">
        <f t="shared" si="24"/>
        <v>2.5999999999999979</v>
      </c>
      <c r="AE52">
        <f t="shared" si="24"/>
        <v>3.1999999999999993</v>
      </c>
      <c r="AF52">
        <f t="shared" si="24"/>
        <v>3</v>
      </c>
      <c r="AG52">
        <f t="shared" si="24"/>
        <v>3.3999999999999986</v>
      </c>
      <c r="AH52">
        <f t="shared" si="24"/>
        <v>2.9000000000000021</v>
      </c>
      <c r="AI52">
        <f t="shared" si="24"/>
        <v>2.6999999999999993</v>
      </c>
    </row>
    <row r="54" spans="1:35" x14ac:dyDescent="0.2">
      <c r="A54" t="s">
        <v>1</v>
      </c>
      <c r="B54">
        <v>25.3</v>
      </c>
      <c r="C54">
        <v>24.5</v>
      </c>
      <c r="D54">
        <v>25.2</v>
      </c>
      <c r="E54">
        <v>24.6</v>
      </c>
      <c r="F54">
        <v>23.9</v>
      </c>
      <c r="G54">
        <v>24.6</v>
      </c>
      <c r="H54">
        <v>24.3</v>
      </c>
      <c r="J54" t="s">
        <v>1</v>
      </c>
      <c r="K54">
        <v>43.6</v>
      </c>
      <c r="L54">
        <v>42.9</v>
      </c>
      <c r="M54">
        <v>42.5</v>
      </c>
      <c r="N54">
        <v>42.1</v>
      </c>
      <c r="O54">
        <v>41.5</v>
      </c>
      <c r="P54">
        <v>43.4</v>
      </c>
      <c r="Q54">
        <v>42.3</v>
      </c>
      <c r="S54" t="s">
        <v>1</v>
      </c>
      <c r="T54">
        <v>18.7</v>
      </c>
      <c r="U54">
        <v>17</v>
      </c>
      <c r="V54">
        <v>11.6</v>
      </c>
      <c r="W54">
        <v>16.8</v>
      </c>
      <c r="X54">
        <v>21.4</v>
      </c>
      <c r="Y54">
        <v>15.8</v>
      </c>
      <c r="Z54">
        <v>17.7</v>
      </c>
      <c r="AB54" t="s">
        <v>1</v>
      </c>
      <c r="AC54">
        <v>20.3</v>
      </c>
      <c r="AD54">
        <v>21.1</v>
      </c>
      <c r="AE54">
        <v>20.9</v>
      </c>
      <c r="AF54">
        <v>21</v>
      </c>
      <c r="AG54">
        <v>19.100000000000001</v>
      </c>
      <c r="AH54">
        <v>22</v>
      </c>
      <c r="AI54">
        <v>20.9</v>
      </c>
    </row>
    <row r="55" spans="1:35" x14ac:dyDescent="0.2">
      <c r="A55" t="s">
        <v>14</v>
      </c>
      <c r="B55">
        <v>23.3</v>
      </c>
      <c r="C55">
        <v>24.5</v>
      </c>
      <c r="D55">
        <v>23.8</v>
      </c>
      <c r="E55">
        <v>23.4</v>
      </c>
      <c r="F55">
        <v>23.3</v>
      </c>
      <c r="G55">
        <v>23.9</v>
      </c>
      <c r="H55">
        <v>23.8</v>
      </c>
      <c r="J55" t="s">
        <v>14</v>
      </c>
      <c r="K55">
        <v>38.1</v>
      </c>
      <c r="L55">
        <v>38.6</v>
      </c>
      <c r="M55">
        <v>37.799999999999997</v>
      </c>
      <c r="N55">
        <v>37.9</v>
      </c>
      <c r="O55">
        <v>37.700000000000003</v>
      </c>
      <c r="P55">
        <v>39.200000000000003</v>
      </c>
      <c r="Q55">
        <v>37.6</v>
      </c>
      <c r="S55" t="s">
        <v>14</v>
      </c>
      <c r="T55">
        <v>13.3</v>
      </c>
      <c r="U55">
        <v>13.3</v>
      </c>
      <c r="V55">
        <v>8.9</v>
      </c>
      <c r="W55">
        <v>11.8</v>
      </c>
      <c r="X55">
        <v>14.7</v>
      </c>
      <c r="Y55">
        <v>10.4</v>
      </c>
      <c r="Z55">
        <v>12.5</v>
      </c>
      <c r="AB55" t="s">
        <v>14</v>
      </c>
      <c r="AC55">
        <v>16.8</v>
      </c>
      <c r="AD55">
        <v>17.899999999999999</v>
      </c>
      <c r="AE55">
        <v>18.5</v>
      </c>
      <c r="AF55">
        <v>17.3</v>
      </c>
      <c r="AG55">
        <v>15.7</v>
      </c>
      <c r="AH55">
        <v>19.5</v>
      </c>
      <c r="AI55">
        <v>18.2</v>
      </c>
    </row>
    <row r="56" spans="1:35" x14ac:dyDescent="0.2">
      <c r="B56">
        <f>B54-B55</f>
        <v>2</v>
      </c>
      <c r="C56">
        <f t="shared" ref="C56:H56" si="25">C54-C55</f>
        <v>0</v>
      </c>
      <c r="D56">
        <f t="shared" si="25"/>
        <v>1.3999999999999986</v>
      </c>
      <c r="E56">
        <f t="shared" si="25"/>
        <v>1.2000000000000028</v>
      </c>
      <c r="F56">
        <f t="shared" si="25"/>
        <v>0.59999999999999787</v>
      </c>
      <c r="G56">
        <f t="shared" si="25"/>
        <v>0.70000000000000284</v>
      </c>
      <c r="H56">
        <f t="shared" si="25"/>
        <v>0.5</v>
      </c>
      <c r="K56">
        <f t="shared" ref="K56:Q56" si="26">K54-K55</f>
        <v>5.5</v>
      </c>
      <c r="L56">
        <f t="shared" si="26"/>
        <v>4.2999999999999972</v>
      </c>
      <c r="M56">
        <f t="shared" si="26"/>
        <v>4.7000000000000028</v>
      </c>
      <c r="N56">
        <f t="shared" si="26"/>
        <v>4.2000000000000028</v>
      </c>
      <c r="O56">
        <f t="shared" si="26"/>
        <v>3.7999999999999972</v>
      </c>
      <c r="P56">
        <f t="shared" si="26"/>
        <v>4.1999999999999957</v>
      </c>
      <c r="Q56">
        <f t="shared" si="26"/>
        <v>4.6999999999999957</v>
      </c>
      <c r="T56">
        <f t="shared" ref="T56:Z56" si="27">T54-T55</f>
        <v>5.3999999999999986</v>
      </c>
      <c r="U56">
        <f t="shared" si="27"/>
        <v>3.6999999999999993</v>
      </c>
      <c r="V56">
        <f t="shared" si="27"/>
        <v>2.6999999999999993</v>
      </c>
      <c r="W56">
        <f t="shared" si="27"/>
        <v>5</v>
      </c>
      <c r="X56">
        <f t="shared" si="27"/>
        <v>6.6999999999999993</v>
      </c>
      <c r="Y56">
        <f t="shared" si="27"/>
        <v>5.4</v>
      </c>
      <c r="Z56">
        <f t="shared" si="27"/>
        <v>5.1999999999999993</v>
      </c>
      <c r="AC56">
        <f t="shared" ref="AC56:AI56" si="28">AC54-AC55</f>
        <v>3.5</v>
      </c>
      <c r="AD56">
        <f t="shared" si="28"/>
        <v>3.2000000000000028</v>
      </c>
      <c r="AE56">
        <f t="shared" si="28"/>
        <v>2.3999999999999986</v>
      </c>
      <c r="AF56">
        <f t="shared" si="28"/>
        <v>3.6999999999999993</v>
      </c>
      <c r="AG56">
        <f t="shared" si="28"/>
        <v>3.4000000000000021</v>
      </c>
      <c r="AH56">
        <f t="shared" si="28"/>
        <v>2.5</v>
      </c>
      <c r="AI56">
        <f t="shared" si="28"/>
        <v>2.6999999999999993</v>
      </c>
    </row>
    <row r="57" spans="1:35" x14ac:dyDescent="0.2">
      <c r="A57" s="2" t="s">
        <v>26</v>
      </c>
      <c r="J57" s="2" t="s">
        <v>26</v>
      </c>
    </row>
    <row r="58" spans="1:35" x14ac:dyDescent="0.2">
      <c r="A58" t="s">
        <v>29</v>
      </c>
      <c r="B58" s="1">
        <f>AVERAGE(B46,B50,B54)</f>
        <v>25.3</v>
      </c>
      <c r="C58" s="1">
        <f t="shared" ref="C58:H59" si="29">AVERAGE(C46,C50,C54)</f>
        <v>24.8</v>
      </c>
      <c r="D58" s="1">
        <f t="shared" si="29"/>
        <v>24.766666666666666</v>
      </c>
      <c r="E58" s="1">
        <f t="shared" si="29"/>
        <v>25.033333333333331</v>
      </c>
      <c r="F58" s="1">
        <f t="shared" si="29"/>
        <v>23.933333333333334</v>
      </c>
      <c r="G58" s="1">
        <f t="shared" si="29"/>
        <v>24.266666666666669</v>
      </c>
      <c r="H58" s="1">
        <f t="shared" si="29"/>
        <v>24.3</v>
      </c>
      <c r="J58" t="s">
        <v>29</v>
      </c>
      <c r="K58" s="1">
        <f>AVERAGE(K46,K50,K54)</f>
        <v>43.6</v>
      </c>
      <c r="L58" s="1">
        <f t="shared" ref="L58:Q59" si="30">AVERAGE(L46,L50,L54)</f>
        <v>42.233333333333341</v>
      </c>
      <c r="M58" s="1">
        <f t="shared" si="30"/>
        <v>42.1</v>
      </c>
      <c r="N58" s="1">
        <f t="shared" si="30"/>
        <v>41.866666666666667</v>
      </c>
      <c r="O58" s="1">
        <f t="shared" si="30"/>
        <v>41.466666666666669</v>
      </c>
      <c r="P58" s="1">
        <f t="shared" si="30"/>
        <v>42.633333333333333</v>
      </c>
      <c r="Q58" s="1">
        <f t="shared" si="30"/>
        <v>42.3</v>
      </c>
      <c r="T58" s="1">
        <f>AVERAGE(T46,T50,T54)</f>
        <v>18.7</v>
      </c>
      <c r="U58" s="1">
        <f t="shared" ref="U58:Z58" si="31">AVERAGE(U46,U50,U54)</f>
        <v>16.833333333333332</v>
      </c>
      <c r="V58" s="1">
        <f t="shared" si="31"/>
        <v>15.733333333333333</v>
      </c>
      <c r="W58" s="1">
        <f t="shared" si="31"/>
        <v>16.299999999999997</v>
      </c>
      <c r="X58" s="1">
        <f t="shared" si="31"/>
        <v>16.566666666666666</v>
      </c>
      <c r="Y58" s="1">
        <f t="shared" si="31"/>
        <v>14.699999999999998</v>
      </c>
      <c r="Z58" s="1">
        <f t="shared" si="31"/>
        <v>17.7</v>
      </c>
      <c r="AA58" s="1"/>
      <c r="AC58" s="1">
        <f>AVERAGE(AC46,AC50,AC54)</f>
        <v>20.3</v>
      </c>
      <c r="AD58" s="1">
        <f t="shared" ref="AD58:AI58" si="32">AVERAGE(AD46,AD50,AD54)</f>
        <v>20.833333333333332</v>
      </c>
      <c r="AE58" s="1">
        <f t="shared" si="32"/>
        <v>20.9</v>
      </c>
      <c r="AF58" s="1">
        <f t="shared" si="32"/>
        <v>21</v>
      </c>
      <c r="AG58" s="1">
        <f t="shared" si="32"/>
        <v>20.100000000000001</v>
      </c>
      <c r="AH58" s="1">
        <f t="shared" si="32"/>
        <v>21.400000000000002</v>
      </c>
      <c r="AI58" s="1">
        <f t="shared" si="32"/>
        <v>20.9</v>
      </c>
    </row>
    <row r="59" spans="1:35" x14ac:dyDescent="0.2">
      <c r="A59" t="s">
        <v>30</v>
      </c>
      <c r="B59" s="1">
        <f>AVERAGE(B47,B51,B55)</f>
        <v>23.3</v>
      </c>
      <c r="C59" s="1">
        <f t="shared" si="29"/>
        <v>23.566666666666666</v>
      </c>
      <c r="D59" s="1">
        <f t="shared" si="29"/>
        <v>23.466666666666669</v>
      </c>
      <c r="E59" s="1">
        <f t="shared" si="29"/>
        <v>23.733333333333331</v>
      </c>
      <c r="F59" s="1">
        <f t="shared" si="29"/>
        <v>23.2</v>
      </c>
      <c r="G59" s="1">
        <f t="shared" si="29"/>
        <v>23.366666666666664</v>
      </c>
      <c r="H59" s="1">
        <f t="shared" si="29"/>
        <v>23.8</v>
      </c>
      <c r="J59" t="s">
        <v>30</v>
      </c>
      <c r="K59" s="1">
        <f>AVERAGE(K47,K51,K55)</f>
        <v>38.1</v>
      </c>
      <c r="L59" s="1">
        <f t="shared" si="30"/>
        <v>38.133333333333333</v>
      </c>
      <c r="M59" s="1">
        <f t="shared" si="30"/>
        <v>37.666666666666664</v>
      </c>
      <c r="N59" s="1">
        <f t="shared" si="30"/>
        <v>37.666666666666664</v>
      </c>
      <c r="O59" s="1">
        <f t="shared" si="30"/>
        <v>37.56666666666667</v>
      </c>
      <c r="P59" s="1">
        <f t="shared" si="30"/>
        <v>38.300000000000004</v>
      </c>
      <c r="Q59" s="1">
        <f t="shared" si="30"/>
        <v>37.6</v>
      </c>
      <c r="T59" s="1">
        <f>AVERAGE(T47,T51,T55)</f>
        <v>13.300000000000002</v>
      </c>
      <c r="U59" s="1">
        <f t="shared" ref="U59:Z59" si="33">AVERAGE(U47,U51,U55)</f>
        <v>12.566666666666668</v>
      </c>
      <c r="V59" s="1">
        <f t="shared" si="33"/>
        <v>11.733333333333334</v>
      </c>
      <c r="W59" s="1">
        <f t="shared" si="33"/>
        <v>12</v>
      </c>
      <c r="X59" s="1">
        <f t="shared" si="33"/>
        <v>11.033333333333331</v>
      </c>
      <c r="Y59" s="1">
        <f t="shared" si="33"/>
        <v>9.7666666666666657</v>
      </c>
      <c r="Z59" s="1">
        <f t="shared" si="33"/>
        <v>12.5</v>
      </c>
      <c r="AA59" s="1"/>
      <c r="AC59" s="1">
        <f>AVERAGE(AC47,AC51,AC55)</f>
        <v>16.8</v>
      </c>
      <c r="AD59" s="1">
        <f t="shared" ref="AD59:AI59" si="34">AVERAGE(AD47,AD51,AD55)</f>
        <v>17.600000000000001</v>
      </c>
      <c r="AE59" s="1">
        <f t="shared" si="34"/>
        <v>18.066666666666666</v>
      </c>
      <c r="AF59" s="1">
        <f t="shared" si="34"/>
        <v>17.866666666666664</v>
      </c>
      <c r="AG59" s="1">
        <f t="shared" si="34"/>
        <v>16.566666666666666</v>
      </c>
      <c r="AH59" s="1">
        <f t="shared" si="34"/>
        <v>18.433333333333334</v>
      </c>
      <c r="AI59" s="1">
        <f t="shared" si="34"/>
        <v>18.2</v>
      </c>
    </row>
    <row r="60" spans="1:35" x14ac:dyDescent="0.2">
      <c r="A60" t="s">
        <v>31</v>
      </c>
      <c r="B60" s="1">
        <f>B58-B59</f>
        <v>2</v>
      </c>
      <c r="C60" s="1">
        <f t="shared" ref="C60:H60" si="35">C58-C59</f>
        <v>1.2333333333333343</v>
      </c>
      <c r="D60" s="1">
        <f t="shared" si="35"/>
        <v>1.2999999999999972</v>
      </c>
      <c r="E60" s="1">
        <f t="shared" si="35"/>
        <v>1.3000000000000007</v>
      </c>
      <c r="F60" s="1">
        <f t="shared" si="35"/>
        <v>0.73333333333333428</v>
      </c>
      <c r="G60" s="1">
        <f t="shared" si="35"/>
        <v>0.90000000000000568</v>
      </c>
      <c r="H60" s="1">
        <f t="shared" si="35"/>
        <v>0.5</v>
      </c>
      <c r="J60" t="s">
        <v>31</v>
      </c>
      <c r="K60" s="1">
        <f t="shared" ref="K60:Q60" si="36">K58-K59</f>
        <v>5.5</v>
      </c>
      <c r="L60" s="1">
        <f t="shared" si="36"/>
        <v>4.1000000000000085</v>
      </c>
      <c r="M60" s="1">
        <f t="shared" si="36"/>
        <v>4.4333333333333371</v>
      </c>
      <c r="N60" s="1">
        <f t="shared" si="36"/>
        <v>4.2000000000000028</v>
      </c>
      <c r="O60" s="1">
        <f t="shared" si="36"/>
        <v>3.8999999999999986</v>
      </c>
      <c r="P60" s="1">
        <f t="shared" si="36"/>
        <v>4.3333333333333286</v>
      </c>
      <c r="Q60" s="1">
        <f t="shared" si="36"/>
        <v>4.6999999999999957</v>
      </c>
      <c r="T60" s="1">
        <f t="shared" ref="T60:Z60" si="37">T58-T59</f>
        <v>5.3999999999999968</v>
      </c>
      <c r="U60" s="1">
        <f t="shared" si="37"/>
        <v>4.2666666666666639</v>
      </c>
      <c r="V60" s="1">
        <f t="shared" si="37"/>
        <v>3.9999999999999982</v>
      </c>
      <c r="W60" s="1">
        <f t="shared" si="37"/>
        <v>4.2999999999999972</v>
      </c>
      <c r="X60" s="1">
        <f t="shared" si="37"/>
        <v>5.533333333333335</v>
      </c>
      <c r="Y60" s="1">
        <f t="shared" si="37"/>
        <v>4.9333333333333318</v>
      </c>
      <c r="Z60" s="1">
        <f t="shared" si="37"/>
        <v>5.1999999999999993</v>
      </c>
      <c r="AA60" s="1"/>
      <c r="AC60" s="1">
        <f t="shared" ref="AC60:AI60" si="38">AC58-AC59</f>
        <v>3.5</v>
      </c>
      <c r="AD60" s="1">
        <f t="shared" si="38"/>
        <v>3.2333333333333307</v>
      </c>
      <c r="AE60" s="1">
        <f t="shared" si="38"/>
        <v>2.8333333333333321</v>
      </c>
      <c r="AF60" s="1">
        <f t="shared" si="38"/>
        <v>3.1333333333333364</v>
      </c>
      <c r="AG60" s="1">
        <f t="shared" si="38"/>
        <v>3.533333333333335</v>
      </c>
      <c r="AH60" s="1">
        <f t="shared" si="38"/>
        <v>2.9666666666666686</v>
      </c>
      <c r="AI60" s="1">
        <f t="shared" si="38"/>
        <v>2.6999999999999993</v>
      </c>
    </row>
    <row r="61" spans="1:35" x14ac:dyDescent="0.2">
      <c r="A61" t="s">
        <v>27</v>
      </c>
      <c r="J61" t="s">
        <v>27</v>
      </c>
    </row>
    <row r="62" spans="1:35" x14ac:dyDescent="0.2">
      <c r="A62" t="s">
        <v>14</v>
      </c>
      <c r="B62">
        <f>1-B59/B58</f>
        <v>7.9051383399209474E-2</v>
      </c>
      <c r="C62">
        <f t="shared" ref="C62:AI62" si="39">1-C59/C58</f>
        <v>4.9731182795698992E-2</v>
      </c>
      <c r="D62">
        <f t="shared" si="39"/>
        <v>5.2489905787348468E-2</v>
      </c>
      <c r="E62">
        <f t="shared" si="39"/>
        <v>5.1930758988016024E-2</v>
      </c>
      <c r="F62">
        <f t="shared" si="39"/>
        <v>3.0640668523676973E-2</v>
      </c>
      <c r="G62">
        <f t="shared" si="39"/>
        <v>3.7087912087912289E-2</v>
      </c>
      <c r="H62">
        <f t="shared" si="39"/>
        <v>2.0576131687242816E-2</v>
      </c>
      <c r="J62" t="s">
        <v>14</v>
      </c>
      <c r="K62">
        <f t="shared" si="39"/>
        <v>0.12614678899082565</v>
      </c>
      <c r="L62">
        <f t="shared" si="39"/>
        <v>9.7079715864246463E-2</v>
      </c>
      <c r="M62">
        <f t="shared" si="39"/>
        <v>0.10530482977038802</v>
      </c>
      <c r="N62">
        <f t="shared" si="39"/>
        <v>0.10031847133757965</v>
      </c>
      <c r="O62">
        <f t="shared" si="39"/>
        <v>9.4051446945337625E-2</v>
      </c>
      <c r="P62">
        <f t="shared" si="39"/>
        <v>0.10164190774042214</v>
      </c>
      <c r="Q62">
        <f t="shared" si="39"/>
        <v>0.11111111111111105</v>
      </c>
      <c r="T62">
        <f t="shared" si="39"/>
        <v>0.28877005347593565</v>
      </c>
      <c r="U62">
        <f t="shared" si="39"/>
        <v>0.25346534653465336</v>
      </c>
      <c r="V62">
        <f t="shared" si="39"/>
        <v>0.2542372881355931</v>
      </c>
      <c r="W62">
        <f t="shared" si="39"/>
        <v>0.26380368098159501</v>
      </c>
      <c r="X62">
        <f t="shared" si="39"/>
        <v>0.33400402414486929</v>
      </c>
      <c r="Y62">
        <f t="shared" si="39"/>
        <v>0.33560090702947842</v>
      </c>
      <c r="Z62">
        <f t="shared" si="39"/>
        <v>0.29378531073446323</v>
      </c>
      <c r="AC62">
        <f t="shared" si="39"/>
        <v>0.17241379310344829</v>
      </c>
      <c r="AD62">
        <f t="shared" si="39"/>
        <v>0.15519999999999989</v>
      </c>
      <c r="AE62">
        <f t="shared" si="39"/>
        <v>0.13556618819776711</v>
      </c>
      <c r="AF62">
        <f t="shared" si="39"/>
        <v>0.14920634920634934</v>
      </c>
      <c r="AG62">
        <f t="shared" si="39"/>
        <v>0.17578772802653408</v>
      </c>
      <c r="AH62">
        <f t="shared" si="39"/>
        <v>0.13862928348909664</v>
      </c>
      <c r="AI62">
        <f t="shared" si="39"/>
        <v>0.12918660287081341</v>
      </c>
    </row>
    <row r="64" spans="1:35" x14ac:dyDescent="0.2">
      <c r="A64" s="2" t="s">
        <v>26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26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  <c r="T64" t="s">
        <v>22</v>
      </c>
      <c r="U64" t="s">
        <v>23</v>
      </c>
      <c r="V64" t="s">
        <v>1</v>
      </c>
      <c r="W64" t="s">
        <v>24</v>
      </c>
      <c r="X64" t="s">
        <v>25</v>
      </c>
      <c r="AC64" t="s">
        <v>22</v>
      </c>
      <c r="AD64" t="s">
        <v>23</v>
      </c>
      <c r="AE64" t="s">
        <v>1</v>
      </c>
      <c r="AF64" t="s">
        <v>24</v>
      </c>
      <c r="AG64" t="s">
        <v>25</v>
      </c>
    </row>
    <row r="65" spans="1:33" x14ac:dyDescent="0.2">
      <c r="A65" t="s">
        <v>1</v>
      </c>
      <c r="B65">
        <v>22.1</v>
      </c>
      <c r="C65">
        <v>23.3</v>
      </c>
      <c r="D65">
        <v>24.3</v>
      </c>
      <c r="E65">
        <v>24.8</v>
      </c>
      <c r="F65">
        <v>25.3</v>
      </c>
      <c r="J65" t="s">
        <v>1</v>
      </c>
      <c r="K65">
        <v>42.7</v>
      </c>
      <c r="L65">
        <v>40.200000000000003</v>
      </c>
      <c r="M65">
        <v>42.3</v>
      </c>
      <c r="N65">
        <v>44.3</v>
      </c>
      <c r="O65">
        <v>43.5</v>
      </c>
      <c r="S65" t="s">
        <v>1</v>
      </c>
      <c r="T65">
        <v>12.9</v>
      </c>
      <c r="U65">
        <v>11.9</v>
      </c>
      <c r="V65">
        <v>17.7</v>
      </c>
      <c r="W65">
        <v>4.3</v>
      </c>
      <c r="X65">
        <v>7.5</v>
      </c>
      <c r="AB65" t="s">
        <v>1</v>
      </c>
      <c r="AC65">
        <v>20.8</v>
      </c>
      <c r="AD65">
        <v>20</v>
      </c>
      <c r="AE65">
        <v>20.9</v>
      </c>
      <c r="AF65">
        <v>22</v>
      </c>
      <c r="AG65">
        <v>22.9</v>
      </c>
    </row>
    <row r="66" spans="1:33" x14ac:dyDescent="0.2">
      <c r="A66" t="s">
        <v>14</v>
      </c>
      <c r="B66">
        <v>22.2</v>
      </c>
      <c r="C66">
        <v>24</v>
      </c>
      <c r="D66">
        <v>23.8</v>
      </c>
      <c r="E66">
        <v>23.5</v>
      </c>
      <c r="F66">
        <v>23.1</v>
      </c>
      <c r="J66" t="s">
        <v>14</v>
      </c>
      <c r="K66">
        <v>36.9</v>
      </c>
      <c r="L66">
        <v>35</v>
      </c>
      <c r="M66">
        <v>37.6</v>
      </c>
      <c r="N66">
        <v>39.700000000000003</v>
      </c>
      <c r="O66">
        <v>39.6</v>
      </c>
      <c r="S66" t="s">
        <v>14</v>
      </c>
      <c r="T66">
        <v>10.9</v>
      </c>
      <c r="U66">
        <v>9.1</v>
      </c>
      <c r="V66">
        <v>12.5</v>
      </c>
      <c r="W66">
        <v>2.5</v>
      </c>
      <c r="X66">
        <v>5.5</v>
      </c>
      <c r="AB66" t="s">
        <v>14</v>
      </c>
      <c r="AC66">
        <v>19.7</v>
      </c>
      <c r="AD66">
        <v>17.3</v>
      </c>
      <c r="AE66">
        <v>18.2</v>
      </c>
      <c r="AF66">
        <v>20.100000000000001</v>
      </c>
      <c r="AG66">
        <v>20.6</v>
      </c>
    </row>
    <row r="67" spans="1:33" x14ac:dyDescent="0.2">
      <c r="A67" t="s">
        <v>27</v>
      </c>
      <c r="J67" t="s">
        <v>27</v>
      </c>
    </row>
    <row r="68" spans="1:33" x14ac:dyDescent="0.2">
      <c r="A68" t="s">
        <v>14</v>
      </c>
      <c r="B68">
        <f>1-B66/B65</f>
        <v>-4.5248868778280382E-3</v>
      </c>
      <c r="C68">
        <f t="shared" ref="C68:AG68" si="40">1-C66/C65</f>
        <v>-3.0042918454935563E-2</v>
      </c>
      <c r="D68">
        <f t="shared" si="40"/>
        <v>2.0576131687242816E-2</v>
      </c>
      <c r="E68">
        <f t="shared" si="40"/>
        <v>5.2419354838709742E-2</v>
      </c>
      <c r="F68">
        <f t="shared" si="40"/>
        <v>8.6956521739130377E-2</v>
      </c>
      <c r="J68" t="s">
        <v>14</v>
      </c>
      <c r="K68">
        <f t="shared" si="40"/>
        <v>0.13583138173302112</v>
      </c>
      <c r="L68">
        <f t="shared" si="40"/>
        <v>0.12935323383084585</v>
      </c>
      <c r="M68">
        <f t="shared" si="40"/>
        <v>0.11111111111111105</v>
      </c>
      <c r="N68">
        <f t="shared" si="40"/>
        <v>0.10383747178329561</v>
      </c>
      <c r="O68">
        <f t="shared" si="40"/>
        <v>8.9655172413793061E-2</v>
      </c>
      <c r="T68">
        <f t="shared" si="40"/>
        <v>0.15503875968992242</v>
      </c>
      <c r="U68">
        <f t="shared" si="40"/>
        <v>0.23529411764705888</v>
      </c>
      <c r="V68">
        <f t="shared" si="40"/>
        <v>0.29378531073446323</v>
      </c>
      <c r="W68">
        <f t="shared" si="40"/>
        <v>0.41860465116279066</v>
      </c>
      <c r="X68">
        <f t="shared" si="40"/>
        <v>0.26666666666666672</v>
      </c>
      <c r="AC68">
        <f t="shared" si="40"/>
        <v>5.2884615384615419E-2</v>
      </c>
      <c r="AD68">
        <f t="shared" si="40"/>
        <v>0.13500000000000001</v>
      </c>
      <c r="AE68">
        <f t="shared" si="40"/>
        <v>0.12918660287081341</v>
      </c>
      <c r="AF68">
        <f t="shared" si="40"/>
        <v>8.6363636363636309E-2</v>
      </c>
      <c r="AG68">
        <f t="shared" si="40"/>
        <v>0.10043668122270732</v>
      </c>
    </row>
  </sheetData>
  <mergeCells count="4">
    <mergeCell ref="A1:H1"/>
    <mergeCell ref="J1:Q1"/>
    <mergeCell ref="S1:Z1"/>
    <mergeCell ref="AB1:AI1"/>
  </mergeCells>
  <hyperlinks>
    <hyperlink ref="A2" r:id="rId1" xr:uid="{5A5ABEE5-0F09-9848-B5C1-C185B2FE21DC}"/>
    <hyperlink ref="A12" r:id="rId2" xr:uid="{4394B6C5-5DBC-6541-BBC3-C7A339E53753}"/>
    <hyperlink ref="A22" r:id="rId3" xr:uid="{0F298A40-1F75-5641-ABB4-B676ECE8F0F3}"/>
    <hyperlink ref="A32" r:id="rId4" xr:uid="{B11F82AA-8B89-5840-AC85-C60765CCAAF8}"/>
    <hyperlink ref="A57" r:id="rId5" xr:uid="{9498565F-4ECA-CF4E-B4FD-9A8148ABB83D}"/>
    <hyperlink ref="A64" r:id="rId6" xr:uid="{D4512542-2E24-154E-85BF-C26DD968ED39}"/>
    <hyperlink ref="A45" r:id="rId7" xr:uid="{3DAF6095-AF6A-C844-B51F-BDBD63567E40}"/>
    <hyperlink ref="J2" r:id="rId8" xr:uid="{7896C8E1-1735-A142-B7ED-E800E678CD98}"/>
    <hyperlink ref="J12" r:id="rId9" xr:uid="{EC7C4BCA-E3B6-7B45-AC36-13F78D9237EF}"/>
    <hyperlink ref="J22" r:id="rId10" xr:uid="{C7FB988F-CF08-CE42-B119-68C29911808D}"/>
    <hyperlink ref="J32" r:id="rId11" xr:uid="{4BD287F1-9ADF-2642-A28A-FDB09ABFB465}"/>
    <hyperlink ref="J57" r:id="rId12" xr:uid="{0280484A-4B95-7A44-A4D7-B48849E98C28}"/>
    <hyperlink ref="J64" r:id="rId13" xr:uid="{3B996F5F-28A3-DE4A-9DB1-517307FAD63B}"/>
    <hyperlink ref="J45" r:id="rId14" xr:uid="{E46E63B9-8594-3A4C-A9A8-BC706E8FEF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2025-06-17T14:03:52Z</dcterms:modified>
</cp:coreProperties>
</file>