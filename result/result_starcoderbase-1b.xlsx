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gliu/Desktop/Finetuning result/upload/"/>
    </mc:Choice>
  </mc:AlternateContent>
  <xr:revisionPtr revIDLastSave="0" documentId="13_ncr:1_{0930C178-D80D-6445-939C-727A85AD9E6C}" xr6:coauthVersionLast="47" xr6:coauthVersionMax="47" xr10:uidLastSave="{00000000-0000-0000-0000-000000000000}"/>
  <bookViews>
    <workbookView xWindow="300" yWindow="740" windowWidth="28040" windowHeight="16740" xr2:uid="{4E469087-E4E6-7D4F-B3F4-40AC1721A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8" i="1" l="1"/>
  <c r="W68" i="1"/>
  <c r="V68" i="1"/>
  <c r="U68" i="1"/>
  <c r="T68" i="1"/>
  <c r="O68" i="1"/>
  <c r="N68" i="1"/>
  <c r="M68" i="1"/>
  <c r="L68" i="1"/>
  <c r="K68" i="1"/>
  <c r="C68" i="1"/>
  <c r="D68" i="1"/>
  <c r="E68" i="1"/>
  <c r="F68" i="1"/>
  <c r="B68" i="1"/>
  <c r="Y42" i="1"/>
  <c r="X42" i="1"/>
  <c r="W42" i="1"/>
  <c r="V42" i="1"/>
  <c r="U42" i="1"/>
  <c r="T42" i="1"/>
  <c r="Y41" i="1"/>
  <c r="X41" i="1"/>
  <c r="W41" i="1"/>
  <c r="V41" i="1"/>
  <c r="U41" i="1"/>
  <c r="T41" i="1"/>
  <c r="Y40" i="1"/>
  <c r="X40" i="1"/>
  <c r="W40" i="1"/>
  <c r="V40" i="1"/>
  <c r="U40" i="1"/>
  <c r="T40" i="1"/>
  <c r="Y39" i="1"/>
  <c r="X39" i="1"/>
  <c r="W39" i="1"/>
  <c r="V39" i="1"/>
  <c r="U39" i="1"/>
  <c r="T39" i="1"/>
  <c r="P42" i="1"/>
  <c r="O42" i="1"/>
  <c r="N42" i="1"/>
  <c r="M42" i="1"/>
  <c r="L42" i="1"/>
  <c r="K42" i="1"/>
  <c r="P41" i="1"/>
  <c r="O41" i="1"/>
  <c r="N41" i="1"/>
  <c r="M41" i="1"/>
  <c r="L41" i="1"/>
  <c r="K41" i="1"/>
  <c r="P40" i="1"/>
  <c r="O40" i="1"/>
  <c r="N40" i="1"/>
  <c r="M40" i="1"/>
  <c r="L40" i="1"/>
  <c r="K40" i="1"/>
  <c r="P39" i="1"/>
  <c r="O39" i="1"/>
  <c r="N39" i="1"/>
  <c r="M39" i="1"/>
  <c r="L39" i="1"/>
  <c r="K39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42" i="1"/>
  <c r="D42" i="1"/>
  <c r="E42" i="1"/>
  <c r="F42" i="1"/>
  <c r="G42" i="1"/>
  <c r="U28" i="1"/>
  <c r="V28" i="1"/>
  <c r="W28" i="1"/>
  <c r="X28" i="1"/>
  <c r="U29" i="1"/>
  <c r="V29" i="1"/>
  <c r="W29" i="1"/>
  <c r="X29" i="1"/>
  <c r="U30" i="1"/>
  <c r="V30" i="1"/>
  <c r="W30" i="1"/>
  <c r="X30" i="1"/>
  <c r="T30" i="1"/>
  <c r="T29" i="1"/>
  <c r="T28" i="1"/>
  <c r="L28" i="1"/>
  <c r="M28" i="1"/>
  <c r="N28" i="1"/>
  <c r="O28" i="1"/>
  <c r="L29" i="1"/>
  <c r="M29" i="1"/>
  <c r="N29" i="1"/>
  <c r="O29" i="1"/>
  <c r="L30" i="1"/>
  <c r="M30" i="1"/>
  <c r="N30" i="1"/>
  <c r="O30" i="1"/>
  <c r="K30" i="1"/>
  <c r="K29" i="1"/>
  <c r="K28" i="1"/>
  <c r="C28" i="1"/>
  <c r="D28" i="1"/>
  <c r="E28" i="1"/>
  <c r="F28" i="1"/>
  <c r="C29" i="1"/>
  <c r="D29" i="1"/>
  <c r="E29" i="1"/>
  <c r="F29" i="1"/>
  <c r="C30" i="1"/>
  <c r="D30" i="1"/>
  <c r="E30" i="1"/>
  <c r="F30" i="1"/>
  <c r="B30" i="1"/>
  <c r="B29" i="1"/>
  <c r="B28" i="1"/>
  <c r="B42" i="1"/>
  <c r="B41" i="1"/>
  <c r="B40" i="1"/>
  <c r="B39" i="1"/>
  <c r="U18" i="1"/>
  <c r="V18" i="1"/>
  <c r="W18" i="1"/>
  <c r="X18" i="1"/>
  <c r="U19" i="1"/>
  <c r="V19" i="1"/>
  <c r="W19" i="1"/>
  <c r="X19" i="1"/>
  <c r="U20" i="1"/>
  <c r="V20" i="1"/>
  <c r="W20" i="1"/>
  <c r="X20" i="1"/>
  <c r="T20" i="1"/>
  <c r="T19" i="1"/>
  <c r="T18" i="1"/>
  <c r="L18" i="1"/>
  <c r="M18" i="1"/>
  <c r="N18" i="1"/>
  <c r="O18" i="1"/>
  <c r="L19" i="1"/>
  <c r="M19" i="1"/>
  <c r="N19" i="1"/>
  <c r="O19" i="1"/>
  <c r="L20" i="1"/>
  <c r="M20" i="1"/>
  <c r="N20" i="1"/>
  <c r="O20" i="1"/>
  <c r="K20" i="1"/>
  <c r="K19" i="1"/>
  <c r="K18" i="1"/>
  <c r="C18" i="1"/>
  <c r="D18" i="1"/>
  <c r="E18" i="1"/>
  <c r="F18" i="1"/>
  <c r="C19" i="1"/>
  <c r="D19" i="1"/>
  <c r="E19" i="1"/>
  <c r="F19" i="1"/>
  <c r="C20" i="1"/>
  <c r="D20" i="1"/>
  <c r="E20" i="1"/>
  <c r="F20" i="1"/>
  <c r="B20" i="1"/>
  <c r="B19" i="1"/>
  <c r="B18" i="1"/>
  <c r="U8" i="1"/>
  <c r="V8" i="1"/>
  <c r="W8" i="1"/>
  <c r="X8" i="1"/>
  <c r="U9" i="1"/>
  <c r="V9" i="1"/>
  <c r="W9" i="1"/>
  <c r="X9" i="1"/>
  <c r="U10" i="1"/>
  <c r="V10" i="1"/>
  <c r="W10" i="1"/>
  <c r="X10" i="1"/>
  <c r="T10" i="1"/>
  <c r="T9" i="1"/>
  <c r="T8" i="1"/>
  <c r="L8" i="1"/>
  <c r="M8" i="1"/>
  <c r="N8" i="1"/>
  <c r="O8" i="1"/>
  <c r="L9" i="1"/>
  <c r="M9" i="1"/>
  <c r="N9" i="1"/>
  <c r="O9" i="1"/>
  <c r="L10" i="1"/>
  <c r="M10" i="1"/>
  <c r="N10" i="1"/>
  <c r="O10" i="1"/>
  <c r="K10" i="1"/>
  <c r="K9" i="1"/>
  <c r="K8" i="1"/>
  <c r="C8" i="1"/>
  <c r="D8" i="1"/>
  <c r="E8" i="1"/>
  <c r="F8" i="1"/>
  <c r="C9" i="1"/>
  <c r="D9" i="1"/>
  <c r="E9" i="1"/>
  <c r="F9" i="1"/>
  <c r="C10" i="1"/>
  <c r="D10" i="1"/>
  <c r="E10" i="1"/>
  <c r="F10" i="1"/>
  <c r="B8" i="1"/>
  <c r="B10" i="1"/>
  <c r="B9" i="1"/>
  <c r="Z59" i="1"/>
  <c r="Z62" i="1" s="1"/>
  <c r="Y59" i="1"/>
  <c r="Y62" i="1" s="1"/>
  <c r="X59" i="1"/>
  <c r="X62" i="1" s="1"/>
  <c r="W59" i="1"/>
  <c r="W62" i="1" s="1"/>
  <c r="V59" i="1"/>
  <c r="V62" i="1" s="1"/>
  <c r="U59" i="1"/>
  <c r="U62" i="1" s="1"/>
  <c r="T59" i="1"/>
  <c r="T62" i="1" s="1"/>
  <c r="Z58" i="1"/>
  <c r="Y58" i="1"/>
  <c r="X58" i="1"/>
  <c r="W58" i="1"/>
  <c r="V58" i="1"/>
  <c r="U58" i="1"/>
  <c r="T58" i="1"/>
  <c r="Z56" i="1"/>
  <c r="Y56" i="1"/>
  <c r="X56" i="1"/>
  <c r="W56" i="1"/>
  <c r="V56" i="1"/>
  <c r="U56" i="1"/>
  <c r="T56" i="1"/>
  <c r="Z52" i="1"/>
  <c r="Y52" i="1"/>
  <c r="X52" i="1"/>
  <c r="W52" i="1"/>
  <c r="V52" i="1"/>
  <c r="U52" i="1"/>
  <c r="T52" i="1"/>
  <c r="Z48" i="1"/>
  <c r="Y48" i="1"/>
  <c r="X48" i="1"/>
  <c r="W48" i="1"/>
  <c r="V48" i="1"/>
  <c r="U48" i="1"/>
  <c r="T48" i="1"/>
  <c r="B48" i="1"/>
  <c r="C48" i="1"/>
  <c r="D48" i="1"/>
  <c r="E48" i="1"/>
  <c r="F48" i="1"/>
  <c r="G48" i="1"/>
  <c r="H48" i="1"/>
  <c r="K59" i="1"/>
  <c r="K62" i="1" s="1"/>
  <c r="K58" i="1"/>
  <c r="K48" i="1"/>
  <c r="Q59" i="1"/>
  <c r="Q62" i="1" s="1"/>
  <c r="P59" i="1"/>
  <c r="P62" i="1" s="1"/>
  <c r="O59" i="1"/>
  <c r="O62" i="1" s="1"/>
  <c r="N59" i="1"/>
  <c r="N62" i="1" s="1"/>
  <c r="M59" i="1"/>
  <c r="M62" i="1" s="1"/>
  <c r="L59" i="1"/>
  <c r="L62" i="1" s="1"/>
  <c r="Q58" i="1"/>
  <c r="P58" i="1"/>
  <c r="O58" i="1"/>
  <c r="N58" i="1"/>
  <c r="M58" i="1"/>
  <c r="L58" i="1"/>
  <c r="Q56" i="1"/>
  <c r="P56" i="1"/>
  <c r="O56" i="1"/>
  <c r="N56" i="1"/>
  <c r="M56" i="1"/>
  <c r="L56" i="1"/>
  <c r="K56" i="1"/>
  <c r="Q52" i="1"/>
  <c r="P52" i="1"/>
  <c r="O52" i="1"/>
  <c r="N52" i="1"/>
  <c r="M52" i="1"/>
  <c r="L52" i="1"/>
  <c r="K52" i="1"/>
  <c r="Q48" i="1"/>
  <c r="P48" i="1"/>
  <c r="O48" i="1"/>
  <c r="N48" i="1"/>
  <c r="M48" i="1"/>
  <c r="L48" i="1"/>
  <c r="C56" i="1"/>
  <c r="D56" i="1"/>
  <c r="E56" i="1"/>
  <c r="F56" i="1"/>
  <c r="G56" i="1"/>
  <c r="H56" i="1"/>
  <c r="B56" i="1"/>
  <c r="C52" i="1"/>
  <c r="D52" i="1"/>
  <c r="E52" i="1"/>
  <c r="F52" i="1"/>
  <c r="G52" i="1"/>
  <c r="H52" i="1"/>
  <c r="B52" i="1"/>
  <c r="C59" i="1"/>
  <c r="C62" i="1" s="1"/>
  <c r="D59" i="1"/>
  <c r="D62" i="1" s="1"/>
  <c r="E59" i="1"/>
  <c r="E62" i="1" s="1"/>
  <c r="F59" i="1"/>
  <c r="F62" i="1" s="1"/>
  <c r="G59" i="1"/>
  <c r="H59" i="1"/>
  <c r="H62" i="1" s="1"/>
  <c r="B59" i="1"/>
  <c r="B62" i="1" s="1"/>
  <c r="C58" i="1"/>
  <c r="D58" i="1"/>
  <c r="E58" i="1"/>
  <c r="F58" i="1"/>
  <c r="G58" i="1"/>
  <c r="H58" i="1"/>
  <c r="B58" i="1"/>
  <c r="G62" i="1" l="1"/>
  <c r="U60" i="1"/>
  <c r="W60" i="1"/>
  <c r="T60" i="1"/>
  <c r="V60" i="1"/>
  <c r="X60" i="1"/>
  <c r="Y60" i="1"/>
  <c r="Z60" i="1"/>
  <c r="H60" i="1"/>
  <c r="G60" i="1"/>
  <c r="B60" i="1"/>
  <c r="F60" i="1"/>
  <c r="E60" i="1"/>
  <c r="D60" i="1"/>
  <c r="C60" i="1"/>
  <c r="P60" i="1"/>
  <c r="Q60" i="1"/>
  <c r="K60" i="1"/>
  <c r="M60" i="1"/>
  <c r="L60" i="1"/>
  <c r="O60" i="1"/>
  <c r="N60" i="1"/>
</calcChain>
</file>

<file path=xl/sharedStrings.xml><?xml version="1.0" encoding="utf-8"?>
<sst xmlns="http://schemas.openxmlformats.org/spreadsheetml/2006/main" count="243" uniqueCount="35">
  <si>
    <t>original</t>
  </si>
  <si>
    <t>nomin</t>
  </si>
  <si>
    <t>butter</t>
  </si>
  <si>
    <t>swap</t>
  </si>
  <si>
    <t>flip</t>
  </si>
  <si>
    <t>inflection</t>
  </si>
  <si>
    <t>insertion</t>
  </si>
  <si>
    <t>substitution</t>
  </si>
  <si>
    <t>tense_past</t>
  </si>
  <si>
    <t>tense_future</t>
  </si>
  <si>
    <t>character-level</t>
  </si>
  <si>
    <t>word-level</t>
  </si>
  <si>
    <t>sentence level</t>
  </si>
  <si>
    <t>backtranslation</t>
  </si>
  <si>
    <t>mix_all_level</t>
  </si>
  <si>
    <t>p0</t>
  </si>
  <si>
    <t>p10</t>
  </si>
  <si>
    <t>p30</t>
  </si>
  <si>
    <t>p50</t>
  </si>
  <si>
    <t>p70</t>
  </si>
  <si>
    <t>p90</t>
  </si>
  <si>
    <t>p100</t>
  </si>
  <si>
    <t>half2</t>
  </si>
  <si>
    <t>half1</t>
  </si>
  <si>
    <t>double size</t>
  </si>
  <si>
    <t>triple size</t>
  </si>
  <si>
    <t>RD</t>
  </si>
  <si>
    <t>pass@1</t>
  </si>
  <si>
    <t>Difference</t>
  </si>
  <si>
    <t>average nomin</t>
  </si>
  <si>
    <t>average mix</t>
  </si>
  <si>
    <t>average Difference</t>
  </si>
  <si>
    <t>HumanEval</t>
  </si>
  <si>
    <t>MBPP</t>
  </si>
  <si>
    <t>HumanEval_Java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</si>
</sst>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@1" TargetMode="External"/><Relationship Id="rId13" Type="http://schemas.openxmlformats.org/officeDocument/2006/relationships/hyperlink" Target="mailto:pass@1" TargetMode="External"/><Relationship Id="rId3" Type="http://schemas.openxmlformats.org/officeDocument/2006/relationships/hyperlink" Target="mailto:pass@1" TargetMode="External"/><Relationship Id="rId7" Type="http://schemas.openxmlformats.org/officeDocument/2006/relationships/hyperlink" Target="mailto:pass@1" TargetMode="External"/><Relationship Id="rId12" Type="http://schemas.openxmlformats.org/officeDocument/2006/relationships/hyperlink" Target="mailto:pass@1" TargetMode="External"/><Relationship Id="rId2" Type="http://schemas.openxmlformats.org/officeDocument/2006/relationships/hyperlink" Target="mailto:pass@1" TargetMode="External"/><Relationship Id="rId1" Type="http://schemas.openxmlformats.org/officeDocument/2006/relationships/hyperlink" Target="mailto:pass@1" TargetMode="External"/><Relationship Id="rId6" Type="http://schemas.openxmlformats.org/officeDocument/2006/relationships/hyperlink" Target="mailto:pass@1" TargetMode="External"/><Relationship Id="rId11" Type="http://schemas.openxmlformats.org/officeDocument/2006/relationships/hyperlink" Target="mailto:pass@1" TargetMode="External"/><Relationship Id="rId5" Type="http://schemas.openxmlformats.org/officeDocument/2006/relationships/hyperlink" Target="mailto:pass@1" TargetMode="External"/><Relationship Id="rId10" Type="http://schemas.openxmlformats.org/officeDocument/2006/relationships/hyperlink" Target="mailto:pass@1" TargetMode="External"/><Relationship Id="rId4" Type="http://schemas.openxmlformats.org/officeDocument/2006/relationships/hyperlink" Target="mailto:pass@1" TargetMode="External"/><Relationship Id="rId9" Type="http://schemas.openxmlformats.org/officeDocument/2006/relationships/hyperlink" Target="mailto:pass@1" TargetMode="External"/><Relationship Id="rId14" Type="http://schemas.openxmlformats.org/officeDocument/2006/relationships/hyperlink" Target="mailto:pass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D5DE-9DD2-6149-854F-3CF3B9A0B7CE}">
  <dimension ref="A1:Z68"/>
  <sheetViews>
    <sheetView tabSelected="1" workbookViewId="0">
      <selection sqref="A1:XFD1"/>
    </sheetView>
  </sheetViews>
  <sheetFormatPr baseColWidth="10" defaultRowHeight="16" x14ac:dyDescent="0.2"/>
  <cols>
    <col min="1" max="1" width="13.6640625" bestFit="1" customWidth="1"/>
    <col min="4" max="4" width="13.6640625" bestFit="1" customWidth="1"/>
    <col min="6" max="6" width="12.6640625" bestFit="1" customWidth="1"/>
    <col min="7" max="7" width="11.5" bestFit="1" customWidth="1"/>
    <col min="8" max="8" width="11.5" customWidth="1"/>
    <col min="10" max="10" width="13.6640625" bestFit="1" customWidth="1"/>
    <col min="13" max="13" width="13.83203125" bestFit="1" customWidth="1"/>
    <col min="14" max="14" width="10" bestFit="1" customWidth="1"/>
    <col min="15" max="15" width="12.83203125" bestFit="1" customWidth="1"/>
  </cols>
  <sheetData>
    <row r="1" spans="1:26" x14ac:dyDescent="0.2">
      <c r="A1" s="3" t="s">
        <v>32</v>
      </c>
      <c r="B1" s="3"/>
      <c r="C1" s="3"/>
      <c r="D1" s="3"/>
      <c r="E1" s="3"/>
      <c r="F1" s="3"/>
      <c r="G1" s="3"/>
      <c r="H1" s="3"/>
      <c r="J1" s="3" t="s">
        <v>33</v>
      </c>
      <c r="K1" s="3"/>
      <c r="L1" s="3"/>
      <c r="M1" s="3"/>
      <c r="N1" s="3"/>
      <c r="O1" s="3"/>
      <c r="P1" s="3"/>
      <c r="Q1" s="3"/>
      <c r="S1" s="3" t="s">
        <v>34</v>
      </c>
      <c r="T1" s="3"/>
      <c r="U1" s="3"/>
      <c r="V1" s="3"/>
      <c r="W1" s="3"/>
      <c r="X1" s="3"/>
      <c r="Y1" s="3"/>
      <c r="Z1" s="3"/>
    </row>
    <row r="2" spans="1:26" x14ac:dyDescent="0.2">
      <c r="A2" s="2" t="s">
        <v>27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J2" s="2" t="s">
        <v>27</v>
      </c>
      <c r="K2" t="s">
        <v>0</v>
      </c>
      <c r="L2" t="s">
        <v>1</v>
      </c>
      <c r="M2" t="s">
        <v>2</v>
      </c>
      <c r="N2" t="s">
        <v>3</v>
      </c>
      <c r="O2" t="s">
        <v>4</v>
      </c>
      <c r="T2" t="s">
        <v>0</v>
      </c>
      <c r="U2" t="s">
        <v>1</v>
      </c>
      <c r="V2" t="s">
        <v>2</v>
      </c>
      <c r="W2" t="s">
        <v>3</v>
      </c>
      <c r="X2" t="s">
        <v>4</v>
      </c>
    </row>
    <row r="3" spans="1:26" x14ac:dyDescent="0.2">
      <c r="A3" t="s">
        <v>1</v>
      </c>
      <c r="B3">
        <v>15.3</v>
      </c>
      <c r="C3">
        <v>21.3</v>
      </c>
      <c r="D3">
        <v>18.5</v>
      </c>
      <c r="E3">
        <v>18.600000000000001</v>
      </c>
      <c r="F3">
        <v>19.600000000000001</v>
      </c>
      <c r="J3" t="s">
        <v>1</v>
      </c>
      <c r="K3">
        <v>27.8</v>
      </c>
      <c r="L3">
        <v>35.1</v>
      </c>
      <c r="M3">
        <v>35.200000000000003</v>
      </c>
      <c r="N3">
        <v>34.700000000000003</v>
      </c>
      <c r="O3">
        <v>35.200000000000003</v>
      </c>
      <c r="S3" t="s">
        <v>1</v>
      </c>
      <c r="T3">
        <v>14.7</v>
      </c>
      <c r="U3">
        <v>20.2</v>
      </c>
      <c r="V3">
        <v>8.1</v>
      </c>
      <c r="W3">
        <v>6.2</v>
      </c>
      <c r="X3">
        <v>4.0999999999999996</v>
      </c>
    </row>
    <row r="4" spans="1:26" x14ac:dyDescent="0.2">
      <c r="A4" t="s">
        <v>2</v>
      </c>
      <c r="B4">
        <v>1.9</v>
      </c>
      <c r="C4">
        <v>17.5</v>
      </c>
      <c r="D4">
        <v>16.8</v>
      </c>
      <c r="E4">
        <v>15.4</v>
      </c>
      <c r="F4">
        <v>17.3</v>
      </c>
      <c r="J4" t="s">
        <v>2</v>
      </c>
      <c r="K4">
        <v>27.7</v>
      </c>
      <c r="L4">
        <v>31.9</v>
      </c>
      <c r="M4">
        <v>32.4</v>
      </c>
      <c r="N4">
        <v>31.8</v>
      </c>
      <c r="O4">
        <v>31.8</v>
      </c>
      <c r="S4" t="s">
        <v>2</v>
      </c>
      <c r="T4">
        <v>12.9</v>
      </c>
      <c r="U4">
        <v>15.7</v>
      </c>
      <c r="V4">
        <v>7.9</v>
      </c>
      <c r="W4">
        <v>5.6</v>
      </c>
      <c r="X4">
        <v>4.8</v>
      </c>
    </row>
    <row r="5" spans="1:26" x14ac:dyDescent="0.2">
      <c r="A5" t="s">
        <v>3</v>
      </c>
      <c r="B5">
        <v>3</v>
      </c>
      <c r="C5">
        <v>18.7</v>
      </c>
      <c r="D5">
        <v>17.899999999999999</v>
      </c>
      <c r="E5">
        <v>16.8</v>
      </c>
      <c r="F5">
        <v>18.100000000000001</v>
      </c>
      <c r="J5" t="s">
        <v>3</v>
      </c>
      <c r="K5">
        <v>25.9</v>
      </c>
      <c r="L5">
        <v>31.4</v>
      </c>
      <c r="M5">
        <v>31.9</v>
      </c>
      <c r="N5">
        <v>30.3</v>
      </c>
      <c r="O5">
        <v>32</v>
      </c>
      <c r="S5" t="s">
        <v>3</v>
      </c>
      <c r="T5">
        <v>12.4</v>
      </c>
      <c r="U5">
        <v>15.5</v>
      </c>
      <c r="V5">
        <v>8.1</v>
      </c>
      <c r="W5">
        <v>5.5</v>
      </c>
      <c r="X5">
        <v>6.2</v>
      </c>
    </row>
    <row r="6" spans="1:26" x14ac:dyDescent="0.2">
      <c r="A6" t="s">
        <v>4</v>
      </c>
      <c r="B6">
        <v>2.2999999999999998</v>
      </c>
      <c r="C6">
        <v>14.8</v>
      </c>
      <c r="D6">
        <v>16</v>
      </c>
      <c r="E6">
        <v>16.3</v>
      </c>
      <c r="F6">
        <v>16.3</v>
      </c>
      <c r="J6" t="s">
        <v>4</v>
      </c>
      <c r="K6">
        <v>22.9</v>
      </c>
      <c r="L6">
        <v>28.2</v>
      </c>
      <c r="M6">
        <v>30.6</v>
      </c>
      <c r="N6">
        <v>31.4</v>
      </c>
      <c r="O6">
        <v>31.9</v>
      </c>
      <c r="S6" t="s">
        <v>4</v>
      </c>
      <c r="T6">
        <v>11.9</v>
      </c>
      <c r="U6">
        <v>14.3</v>
      </c>
      <c r="V6">
        <v>6.2</v>
      </c>
      <c r="W6">
        <v>5.6</v>
      </c>
      <c r="X6">
        <v>6</v>
      </c>
    </row>
    <row r="7" spans="1:26" x14ac:dyDescent="0.2">
      <c r="A7" t="s">
        <v>26</v>
      </c>
      <c r="J7" t="s">
        <v>26</v>
      </c>
    </row>
    <row r="8" spans="1:26" x14ac:dyDescent="0.2">
      <c r="A8" t="s">
        <v>2</v>
      </c>
      <c r="B8">
        <f>1-B4/B3</f>
        <v>0.87581699346405228</v>
      </c>
      <c r="C8">
        <f>1-C4/C3</f>
        <v>0.17840375586854462</v>
      </c>
      <c r="D8">
        <f>1-D4/D3</f>
        <v>9.1891891891891841E-2</v>
      </c>
      <c r="E8">
        <f>1-E4/E3</f>
        <v>0.17204301075268824</v>
      </c>
      <c r="F8">
        <f>1-F4/F3</f>
        <v>0.11734693877551028</v>
      </c>
      <c r="J8" t="s">
        <v>2</v>
      </c>
      <c r="K8">
        <f>1-K4/K3</f>
        <v>3.597122302158362E-3</v>
      </c>
      <c r="L8">
        <f>1-L4/L3</f>
        <v>9.1168091168091214E-2</v>
      </c>
      <c r="M8">
        <f>1-M4/M3</f>
        <v>7.9545454545454697E-2</v>
      </c>
      <c r="N8">
        <f>1-N4/N3</f>
        <v>8.3573487031700311E-2</v>
      </c>
      <c r="O8">
        <f>1-O4/O3</f>
        <v>9.6590909090909172E-2</v>
      </c>
      <c r="T8">
        <f>1-T4/T3</f>
        <v>0.12244897959183665</v>
      </c>
      <c r="U8">
        <f>1-U4/U3</f>
        <v>0.22277227722772275</v>
      </c>
      <c r="V8">
        <f>1-V4/V3</f>
        <v>2.4691358024691246E-2</v>
      </c>
      <c r="W8">
        <f>1-W4/W3</f>
        <v>9.6774193548387233E-2</v>
      </c>
      <c r="X8">
        <f>1-X4/X3</f>
        <v>-0.17073170731707332</v>
      </c>
    </row>
    <row r="9" spans="1:26" x14ac:dyDescent="0.2">
      <c r="A9" t="s">
        <v>3</v>
      </c>
      <c r="B9">
        <f>1-B5/B3</f>
        <v>0.80392156862745101</v>
      </c>
      <c r="C9">
        <f>1-C5/C3</f>
        <v>0.12206572769953061</v>
      </c>
      <c r="D9">
        <f>1-D5/D3</f>
        <v>3.2432432432432545E-2</v>
      </c>
      <c r="E9">
        <f>1-E5/E3</f>
        <v>9.6774193548387122E-2</v>
      </c>
      <c r="F9">
        <f>1-F5/F3</f>
        <v>7.6530612244897989E-2</v>
      </c>
      <c r="J9" t="s">
        <v>3</v>
      </c>
      <c r="K9">
        <f>1-K5/K3</f>
        <v>6.8345323741007324E-2</v>
      </c>
      <c r="L9">
        <f>1-L5/L3</f>
        <v>0.10541310541310545</v>
      </c>
      <c r="M9">
        <f>1-M5/M3</f>
        <v>9.3750000000000111E-2</v>
      </c>
      <c r="N9">
        <f>1-N5/N3</f>
        <v>0.12680115273775217</v>
      </c>
      <c r="O9">
        <f>1-O5/O3</f>
        <v>9.0909090909090939E-2</v>
      </c>
      <c r="T9">
        <f>1-T5/T3</f>
        <v>0.15646258503401356</v>
      </c>
      <c r="U9">
        <f>1-U5/U3</f>
        <v>0.23267326732673266</v>
      </c>
      <c r="V9">
        <f>1-V5/V3</f>
        <v>0</v>
      </c>
      <c r="W9">
        <f>1-W5/W3</f>
        <v>0.11290322580645162</v>
      </c>
      <c r="X9">
        <f>1-X5/X3</f>
        <v>-0.51219512195121975</v>
      </c>
    </row>
    <row r="10" spans="1:26" x14ac:dyDescent="0.2">
      <c r="A10" t="s">
        <v>4</v>
      </c>
      <c r="B10">
        <f>1-B6/B3</f>
        <v>0.84967320261437906</v>
      </c>
      <c r="C10">
        <f>1-C6/C3</f>
        <v>0.30516431924882625</v>
      </c>
      <c r="D10">
        <f>1-D6/D3</f>
        <v>0.13513513513513509</v>
      </c>
      <c r="E10">
        <f>1-E6/E3</f>
        <v>0.12365591397849462</v>
      </c>
      <c r="F10">
        <f>1-F6/F3</f>
        <v>0.16836734693877553</v>
      </c>
      <c r="J10" t="s">
        <v>4</v>
      </c>
      <c r="K10">
        <f>1-K6/K3</f>
        <v>0.17625899280575552</v>
      </c>
      <c r="L10">
        <f>1-L6/L3</f>
        <v>0.19658119658119666</v>
      </c>
      <c r="M10">
        <f>1-M6/M3</f>
        <v>0.13068181818181823</v>
      </c>
      <c r="N10">
        <f>1-N6/N3</f>
        <v>9.5100864553314235E-2</v>
      </c>
      <c r="O10">
        <f>1-O6/O3</f>
        <v>9.3750000000000111E-2</v>
      </c>
      <c r="T10">
        <f>1-T6/T3</f>
        <v>0.19047619047619047</v>
      </c>
      <c r="U10">
        <f>1-U6/U3</f>
        <v>0.29207920792079201</v>
      </c>
      <c r="V10">
        <f>1-V6/V3</f>
        <v>0.23456790123456783</v>
      </c>
      <c r="W10">
        <f>1-W6/W3</f>
        <v>9.6774193548387233E-2</v>
      </c>
      <c r="X10">
        <f>1-X6/X3</f>
        <v>-0.46341463414634165</v>
      </c>
    </row>
    <row r="12" spans="1:26" x14ac:dyDescent="0.2">
      <c r="A12" s="2" t="s">
        <v>27</v>
      </c>
      <c r="B12" t="s">
        <v>0</v>
      </c>
      <c r="C12" t="s">
        <v>1</v>
      </c>
      <c r="D12" t="s">
        <v>5</v>
      </c>
      <c r="E12" t="s">
        <v>6</v>
      </c>
      <c r="F12" t="s">
        <v>7</v>
      </c>
      <c r="J12" s="2" t="s">
        <v>27</v>
      </c>
      <c r="K12" t="s">
        <v>0</v>
      </c>
      <c r="L12" t="s">
        <v>1</v>
      </c>
      <c r="M12" t="s">
        <v>5</v>
      </c>
      <c r="N12" t="s">
        <v>6</v>
      </c>
      <c r="O12" t="s">
        <v>7</v>
      </c>
      <c r="T12" t="s">
        <v>0</v>
      </c>
      <c r="U12" t="s">
        <v>1</v>
      </c>
      <c r="V12" t="s">
        <v>5</v>
      </c>
      <c r="W12" t="s">
        <v>6</v>
      </c>
      <c r="X12" t="s">
        <v>7</v>
      </c>
    </row>
    <row r="13" spans="1:26" x14ac:dyDescent="0.2">
      <c r="A13" t="s">
        <v>1</v>
      </c>
      <c r="B13">
        <v>15.3</v>
      </c>
      <c r="C13">
        <v>21.3</v>
      </c>
      <c r="D13">
        <v>18.899999999999999</v>
      </c>
      <c r="E13">
        <v>20.9</v>
      </c>
      <c r="F13">
        <v>18.100000000000001</v>
      </c>
      <c r="J13" t="s">
        <v>1</v>
      </c>
      <c r="K13">
        <v>27.8</v>
      </c>
      <c r="L13">
        <v>35.1</v>
      </c>
      <c r="M13">
        <v>35.700000000000003</v>
      </c>
      <c r="N13">
        <v>34.5</v>
      </c>
      <c r="O13">
        <v>34.9</v>
      </c>
      <c r="S13" t="s">
        <v>1</v>
      </c>
      <c r="T13">
        <v>14.7</v>
      </c>
      <c r="U13">
        <v>20.2</v>
      </c>
      <c r="V13">
        <v>6.4</v>
      </c>
      <c r="W13">
        <v>9.6</v>
      </c>
      <c r="X13">
        <v>6.4</v>
      </c>
    </row>
    <row r="14" spans="1:26" x14ac:dyDescent="0.2">
      <c r="A14" t="s">
        <v>5</v>
      </c>
      <c r="B14">
        <v>3.5</v>
      </c>
      <c r="C14">
        <v>19.7</v>
      </c>
      <c r="D14">
        <v>19</v>
      </c>
      <c r="E14">
        <v>18.5</v>
      </c>
      <c r="F14">
        <v>17.5</v>
      </c>
      <c r="J14" t="s">
        <v>5</v>
      </c>
      <c r="K14">
        <v>24.3</v>
      </c>
      <c r="L14">
        <v>32</v>
      </c>
      <c r="M14">
        <v>34.299999999999997</v>
      </c>
      <c r="N14">
        <v>31.5</v>
      </c>
      <c r="O14">
        <v>32.6</v>
      </c>
      <c r="S14" t="s">
        <v>5</v>
      </c>
      <c r="T14">
        <v>12.5</v>
      </c>
      <c r="U14">
        <v>16.5</v>
      </c>
      <c r="V14">
        <v>4.5999999999999996</v>
      </c>
      <c r="W14">
        <v>6.2</v>
      </c>
      <c r="X14">
        <v>5</v>
      </c>
    </row>
    <row r="15" spans="1:26" x14ac:dyDescent="0.2">
      <c r="A15" t="s">
        <v>6</v>
      </c>
      <c r="B15">
        <v>2.9</v>
      </c>
      <c r="C15">
        <v>17.7</v>
      </c>
      <c r="D15">
        <v>15.5</v>
      </c>
      <c r="E15">
        <v>17.2</v>
      </c>
      <c r="F15">
        <v>15.8</v>
      </c>
      <c r="J15" t="s">
        <v>6</v>
      </c>
      <c r="K15">
        <v>24.9</v>
      </c>
      <c r="L15">
        <v>31.8</v>
      </c>
      <c r="M15">
        <v>33.700000000000003</v>
      </c>
      <c r="N15">
        <v>32.5</v>
      </c>
      <c r="O15">
        <v>32.6</v>
      </c>
      <c r="S15" t="s">
        <v>6</v>
      </c>
      <c r="T15">
        <v>12.4</v>
      </c>
      <c r="U15">
        <v>16</v>
      </c>
      <c r="V15">
        <v>5</v>
      </c>
      <c r="W15">
        <v>6.4</v>
      </c>
      <c r="X15">
        <v>4.4000000000000004</v>
      </c>
    </row>
    <row r="16" spans="1:26" x14ac:dyDescent="0.2">
      <c r="A16" t="s">
        <v>7</v>
      </c>
      <c r="B16">
        <v>2.4</v>
      </c>
      <c r="C16">
        <v>16.399999999999999</v>
      </c>
      <c r="D16">
        <v>15.9</v>
      </c>
      <c r="E16">
        <v>16.8</v>
      </c>
      <c r="F16">
        <v>14.8</v>
      </c>
      <c r="J16" t="s">
        <v>7</v>
      </c>
      <c r="K16">
        <v>23</v>
      </c>
      <c r="L16">
        <v>29.9</v>
      </c>
      <c r="M16">
        <v>31.8</v>
      </c>
      <c r="N16">
        <v>29.2</v>
      </c>
      <c r="O16">
        <v>30.9</v>
      </c>
      <c r="S16" t="s">
        <v>7</v>
      </c>
      <c r="T16">
        <v>11.7</v>
      </c>
      <c r="U16">
        <v>14.8</v>
      </c>
      <c r="V16">
        <v>3.7</v>
      </c>
      <c r="W16">
        <v>5.0999999999999996</v>
      </c>
      <c r="X16">
        <v>4.4000000000000004</v>
      </c>
    </row>
    <row r="17" spans="1:25" x14ac:dyDescent="0.2">
      <c r="A17" t="s">
        <v>26</v>
      </c>
      <c r="J17" t="s">
        <v>26</v>
      </c>
    </row>
    <row r="18" spans="1:25" x14ac:dyDescent="0.2">
      <c r="A18" t="s">
        <v>5</v>
      </c>
      <c r="B18">
        <f>1-B14/B13</f>
        <v>0.77124183006535951</v>
      </c>
      <c r="C18">
        <f>1-C14/C13</f>
        <v>7.5117370892018864E-2</v>
      </c>
      <c r="D18">
        <f>1-D14/D13</f>
        <v>-5.2910052910053462E-3</v>
      </c>
      <c r="E18">
        <f>1-E14/E13</f>
        <v>0.1148325358851674</v>
      </c>
      <c r="F18">
        <f>1-F14/F13</f>
        <v>3.3149171270718258E-2</v>
      </c>
      <c r="J18" t="s">
        <v>5</v>
      </c>
      <c r="K18">
        <f>1-K14/K13</f>
        <v>0.12589928057553956</v>
      </c>
      <c r="L18">
        <f>1-L14/L13</f>
        <v>8.8319088319088301E-2</v>
      </c>
      <c r="M18">
        <f>1-M14/M13</f>
        <v>3.9215686274509998E-2</v>
      </c>
      <c r="N18">
        <f>1-N14/N13</f>
        <v>8.6956521739130488E-2</v>
      </c>
      <c r="O18">
        <f>1-O14/O13</f>
        <v>6.5902578796561473E-2</v>
      </c>
      <c r="T18">
        <f>1-T14/T13</f>
        <v>0.14965986394557818</v>
      </c>
      <c r="U18">
        <f>1-U14/U13</f>
        <v>0.18316831683168311</v>
      </c>
      <c r="V18">
        <f>1-V14/V13</f>
        <v>0.28125000000000011</v>
      </c>
      <c r="W18">
        <f>1-W14/W13</f>
        <v>0.35416666666666663</v>
      </c>
      <c r="X18">
        <f>1-X14/X13</f>
        <v>0.21875</v>
      </c>
    </row>
    <row r="19" spans="1:25" x14ac:dyDescent="0.2">
      <c r="A19" t="s">
        <v>6</v>
      </c>
      <c r="B19">
        <f>1-B15/B13</f>
        <v>0.81045751633986929</v>
      </c>
      <c r="C19">
        <f>1-C15/C13</f>
        <v>0.16901408450704236</v>
      </c>
      <c r="D19">
        <f>1-D15/D13</f>
        <v>0.17989417989417988</v>
      </c>
      <c r="E19">
        <f>1-E15/E13</f>
        <v>0.17703349282296643</v>
      </c>
      <c r="F19">
        <f>1-F15/F13</f>
        <v>0.1270718232044199</v>
      </c>
      <c r="J19" t="s">
        <v>6</v>
      </c>
      <c r="K19">
        <f>1-K15/K13</f>
        <v>0.10431654676259006</v>
      </c>
      <c r="L19">
        <f>1-L15/L13</f>
        <v>9.4017094017094016E-2</v>
      </c>
      <c r="M19">
        <f>1-M15/M13</f>
        <v>5.6022408963585457E-2</v>
      </c>
      <c r="N19">
        <f>1-N15/N13</f>
        <v>5.7971014492753659E-2</v>
      </c>
      <c r="O19">
        <f>1-O15/O13</f>
        <v>6.5902578796561473E-2</v>
      </c>
      <c r="T19">
        <f>1-T15/T13</f>
        <v>0.15646258503401356</v>
      </c>
      <c r="U19">
        <f>1-U15/U13</f>
        <v>0.20792079207920788</v>
      </c>
      <c r="V19">
        <f>1-V15/V13</f>
        <v>0.21875</v>
      </c>
      <c r="W19">
        <f>1-W15/W13</f>
        <v>0.33333333333333326</v>
      </c>
      <c r="X19">
        <f>1-X15/X13</f>
        <v>0.3125</v>
      </c>
    </row>
    <row r="20" spans="1:25" x14ac:dyDescent="0.2">
      <c r="A20" t="s">
        <v>7</v>
      </c>
      <c r="B20">
        <f>1-B16/B13</f>
        <v>0.84313725490196079</v>
      </c>
      <c r="C20">
        <f>1-C16/C13</f>
        <v>0.23004694835680761</v>
      </c>
      <c r="D20">
        <f>1-D16/D13</f>
        <v>0.15873015873015861</v>
      </c>
      <c r="E20">
        <f>1-E16/E13</f>
        <v>0.19617224880382766</v>
      </c>
      <c r="F20">
        <f>1-F16/F13</f>
        <v>0.18232044198895025</v>
      </c>
      <c r="J20" t="s">
        <v>7</v>
      </c>
      <c r="K20">
        <f>1-K16/K13</f>
        <v>0.17266187050359716</v>
      </c>
      <c r="L20">
        <f>1-L16/L13</f>
        <v>0.14814814814814825</v>
      </c>
      <c r="M20">
        <f>1-M16/M13</f>
        <v>0.10924369747899165</v>
      </c>
      <c r="N20">
        <f>1-N16/N13</f>
        <v>0.15362318840579714</v>
      </c>
      <c r="O20">
        <f>1-O16/O13</f>
        <v>0.11461318051575931</v>
      </c>
      <c r="T20">
        <f>1-T16/T13</f>
        <v>0.20408163265306123</v>
      </c>
      <c r="U20">
        <f>1-U16/U13</f>
        <v>0.26732673267326723</v>
      </c>
      <c r="V20">
        <f>1-V16/V13</f>
        <v>0.421875</v>
      </c>
      <c r="W20">
        <f>1-W16/W13</f>
        <v>0.46875</v>
      </c>
      <c r="X20">
        <f>1-X16/X13</f>
        <v>0.3125</v>
      </c>
    </row>
    <row r="22" spans="1:25" x14ac:dyDescent="0.2">
      <c r="A22" s="2" t="s">
        <v>27</v>
      </c>
      <c r="B22" t="s">
        <v>0</v>
      </c>
      <c r="C22" t="s">
        <v>1</v>
      </c>
      <c r="D22" t="s">
        <v>13</v>
      </c>
      <c r="E22" t="s">
        <v>8</v>
      </c>
      <c r="F22" t="s">
        <v>9</v>
      </c>
      <c r="J22" s="2" t="s">
        <v>27</v>
      </c>
      <c r="K22" t="s">
        <v>0</v>
      </c>
      <c r="L22" t="s">
        <v>1</v>
      </c>
      <c r="M22" t="s">
        <v>13</v>
      </c>
      <c r="N22" t="s">
        <v>8</v>
      </c>
      <c r="O22" t="s">
        <v>9</v>
      </c>
      <c r="T22" t="s">
        <v>0</v>
      </c>
      <c r="U22" t="s">
        <v>1</v>
      </c>
      <c r="V22" t="s">
        <v>13</v>
      </c>
      <c r="W22" t="s">
        <v>8</v>
      </c>
      <c r="X22" t="s">
        <v>9</v>
      </c>
    </row>
    <row r="23" spans="1:25" x14ac:dyDescent="0.2">
      <c r="A23" t="s">
        <v>1</v>
      </c>
      <c r="B23">
        <v>15.3</v>
      </c>
      <c r="C23">
        <v>21.3</v>
      </c>
      <c r="D23">
        <v>19.2</v>
      </c>
      <c r="E23">
        <v>19.899999999999999</v>
      </c>
      <c r="F23">
        <v>19.600000000000001</v>
      </c>
      <c r="J23" t="s">
        <v>1</v>
      </c>
      <c r="K23">
        <v>27.8</v>
      </c>
      <c r="L23">
        <v>35.1</v>
      </c>
      <c r="M23">
        <v>33.200000000000003</v>
      </c>
      <c r="N23">
        <v>36.299999999999997</v>
      </c>
      <c r="O23">
        <v>33.6</v>
      </c>
      <c r="S23" t="s">
        <v>1</v>
      </c>
      <c r="T23">
        <v>14.7</v>
      </c>
      <c r="U23">
        <v>20.2</v>
      </c>
      <c r="V23">
        <v>6.2</v>
      </c>
      <c r="W23">
        <v>4.9000000000000004</v>
      </c>
      <c r="X23">
        <v>6.7</v>
      </c>
    </row>
    <row r="24" spans="1:25" x14ac:dyDescent="0.2">
      <c r="A24" t="s">
        <v>13</v>
      </c>
      <c r="B24">
        <v>3.1</v>
      </c>
      <c r="C24">
        <v>18.3</v>
      </c>
      <c r="D24">
        <v>17.5</v>
      </c>
      <c r="E24">
        <v>16.8</v>
      </c>
      <c r="F24">
        <v>16.600000000000001</v>
      </c>
      <c r="J24" t="s">
        <v>13</v>
      </c>
      <c r="K24">
        <v>25.2</v>
      </c>
      <c r="L24">
        <v>32.700000000000003</v>
      </c>
      <c r="M24">
        <v>29.9</v>
      </c>
      <c r="N24">
        <v>32.1</v>
      </c>
      <c r="O24">
        <v>32.200000000000003</v>
      </c>
      <c r="S24" t="s">
        <v>13</v>
      </c>
      <c r="T24">
        <v>12.4</v>
      </c>
      <c r="U24">
        <v>15</v>
      </c>
      <c r="V24">
        <v>5.0999999999999996</v>
      </c>
      <c r="W24">
        <v>2.5</v>
      </c>
      <c r="X24">
        <v>8.5</v>
      </c>
    </row>
    <row r="25" spans="1:25" x14ac:dyDescent="0.2">
      <c r="A25" t="s">
        <v>8</v>
      </c>
      <c r="B25">
        <v>3.4</v>
      </c>
      <c r="C25">
        <v>18.600000000000001</v>
      </c>
      <c r="D25">
        <v>18.100000000000001</v>
      </c>
      <c r="E25">
        <v>17.899999999999999</v>
      </c>
      <c r="F25">
        <v>18</v>
      </c>
      <c r="J25" t="s">
        <v>8</v>
      </c>
      <c r="K25">
        <v>27.2</v>
      </c>
      <c r="L25">
        <v>32.299999999999997</v>
      </c>
      <c r="M25">
        <v>31.7</v>
      </c>
      <c r="N25">
        <v>33.6</v>
      </c>
      <c r="O25">
        <v>32.700000000000003</v>
      </c>
      <c r="S25" t="s">
        <v>8</v>
      </c>
      <c r="T25">
        <v>13</v>
      </c>
      <c r="U25">
        <v>16.399999999999999</v>
      </c>
      <c r="V25">
        <v>4.3</v>
      </c>
      <c r="W25">
        <v>2.5</v>
      </c>
      <c r="X25">
        <v>8.9</v>
      </c>
    </row>
    <row r="26" spans="1:25" x14ac:dyDescent="0.2">
      <c r="A26" t="s">
        <v>9</v>
      </c>
      <c r="B26">
        <v>3.4</v>
      </c>
      <c r="C26">
        <v>18.600000000000001</v>
      </c>
      <c r="D26">
        <v>18.100000000000001</v>
      </c>
      <c r="E26">
        <v>17.899999999999999</v>
      </c>
      <c r="F26">
        <v>18</v>
      </c>
      <c r="J26" t="s">
        <v>9</v>
      </c>
      <c r="K26">
        <v>26.9</v>
      </c>
      <c r="L26">
        <v>32.1</v>
      </c>
      <c r="M26">
        <v>31.7</v>
      </c>
      <c r="N26">
        <v>34.200000000000003</v>
      </c>
      <c r="O26">
        <v>33.5</v>
      </c>
      <c r="S26" t="s">
        <v>9</v>
      </c>
      <c r="T26">
        <v>13</v>
      </c>
      <c r="U26">
        <v>16.399999999999999</v>
      </c>
      <c r="V26">
        <v>4.3</v>
      </c>
      <c r="W26">
        <v>2.5</v>
      </c>
      <c r="X26">
        <v>8.9</v>
      </c>
    </row>
    <row r="27" spans="1:25" x14ac:dyDescent="0.2">
      <c r="A27" t="s">
        <v>26</v>
      </c>
      <c r="J27" t="s">
        <v>26</v>
      </c>
    </row>
    <row r="28" spans="1:25" x14ac:dyDescent="0.2">
      <c r="A28" t="s">
        <v>13</v>
      </c>
      <c r="B28">
        <f>1-B24/B23</f>
        <v>0.79738562091503273</v>
      </c>
      <c r="C28">
        <f>1-C24/C23</f>
        <v>0.14084507042253525</v>
      </c>
      <c r="D28">
        <f>1-D24/D23</f>
        <v>8.854166666666663E-2</v>
      </c>
      <c r="E28">
        <f>1-E24/E23</f>
        <v>0.15577889447236171</v>
      </c>
      <c r="F28">
        <f>1-F24/F23</f>
        <v>0.15306122448979587</v>
      </c>
      <c r="J28" t="s">
        <v>13</v>
      </c>
      <c r="K28">
        <f>1-K24/K23</f>
        <v>9.3525179856115193E-2</v>
      </c>
      <c r="L28">
        <f>1-L24/L23</f>
        <v>6.8376068376068355E-2</v>
      </c>
      <c r="M28">
        <f>1-M24/M23</f>
        <v>9.9397590361445909E-2</v>
      </c>
      <c r="N28">
        <f>1-N24/N23</f>
        <v>0.11570247933884281</v>
      </c>
      <c r="O28">
        <f>1-O24/O23</f>
        <v>4.166666666666663E-2</v>
      </c>
      <c r="T28">
        <f>1-T24/T23</f>
        <v>0.15646258503401356</v>
      </c>
      <c r="U28">
        <f>1-U24/U23</f>
        <v>0.25742574257425743</v>
      </c>
      <c r="V28">
        <f>1-V24/V23</f>
        <v>0.17741935483870974</v>
      </c>
      <c r="W28">
        <f>1-W24/W23</f>
        <v>0.48979591836734693</v>
      </c>
      <c r="X28">
        <f>1-X24/X23</f>
        <v>-0.26865671641791034</v>
      </c>
    </row>
    <row r="29" spans="1:25" x14ac:dyDescent="0.2">
      <c r="A29" t="s">
        <v>8</v>
      </c>
      <c r="B29">
        <f>1-B25/B23</f>
        <v>0.77777777777777779</v>
      </c>
      <c r="C29">
        <f>1-C25/C23</f>
        <v>0.12676056338028163</v>
      </c>
      <c r="D29">
        <f>1-D25/D23</f>
        <v>5.7291666666666519E-2</v>
      </c>
      <c r="E29">
        <f>1-E25/E23</f>
        <v>0.10050251256281406</v>
      </c>
      <c r="F29">
        <f>1-F25/F23</f>
        <v>8.163265306122458E-2</v>
      </c>
      <c r="J29" t="s">
        <v>8</v>
      </c>
      <c r="K29">
        <f>1-K25/K23</f>
        <v>2.1582733812949728E-2</v>
      </c>
      <c r="L29">
        <f>1-L25/L23</f>
        <v>7.9772079772079896E-2</v>
      </c>
      <c r="M29">
        <f>1-M25/M23</f>
        <v>4.5180722891566383E-2</v>
      </c>
      <c r="N29">
        <f>1-N25/N23</f>
        <v>7.4380165289256062E-2</v>
      </c>
      <c r="O29">
        <f>1-O25/O23</f>
        <v>2.6785714285714191E-2</v>
      </c>
      <c r="T29">
        <f>1-T25/T23</f>
        <v>0.11564625850340127</v>
      </c>
      <c r="U29">
        <f>1-U25/U23</f>
        <v>0.18811881188118817</v>
      </c>
      <c r="V29">
        <f>1-V25/V23</f>
        <v>0.30645161290322587</v>
      </c>
      <c r="W29">
        <f>1-W25/W23</f>
        <v>0.48979591836734693</v>
      </c>
      <c r="X29">
        <f>1-X25/X23</f>
        <v>-0.32835820895522394</v>
      </c>
    </row>
    <row r="30" spans="1:25" x14ac:dyDescent="0.2">
      <c r="A30" t="s">
        <v>9</v>
      </c>
      <c r="B30">
        <f>1-B26/B23</f>
        <v>0.77777777777777779</v>
      </c>
      <c r="C30">
        <f>1-C26/C23</f>
        <v>0.12676056338028163</v>
      </c>
      <c r="D30">
        <f>1-D26/D23</f>
        <v>5.7291666666666519E-2</v>
      </c>
      <c r="E30">
        <f>1-E26/E23</f>
        <v>0.10050251256281406</v>
      </c>
      <c r="F30">
        <f>1-F26/F23</f>
        <v>8.163265306122458E-2</v>
      </c>
      <c r="J30" t="s">
        <v>9</v>
      </c>
      <c r="K30">
        <f>1-K26/K23</f>
        <v>3.2374100719424481E-2</v>
      </c>
      <c r="L30">
        <f>1-L26/L23</f>
        <v>8.54700854700855E-2</v>
      </c>
      <c r="M30">
        <f>1-M26/M23</f>
        <v>4.5180722891566383E-2</v>
      </c>
      <c r="N30">
        <f>1-N26/N23</f>
        <v>5.7851239669421295E-2</v>
      </c>
      <c r="O30">
        <f>1-O26/O23</f>
        <v>2.9761904761904656E-3</v>
      </c>
      <c r="T30">
        <f>1-T26/T23</f>
        <v>0.11564625850340127</v>
      </c>
      <c r="U30">
        <f>1-U26/U23</f>
        <v>0.18811881188118817</v>
      </c>
      <c r="V30">
        <f>1-V26/V23</f>
        <v>0.30645161290322587</v>
      </c>
      <c r="W30">
        <f>1-W26/W23</f>
        <v>0.48979591836734693</v>
      </c>
      <c r="X30">
        <f>1-X26/X23</f>
        <v>-0.32835820895522394</v>
      </c>
    </row>
    <row r="32" spans="1:25" x14ac:dyDescent="0.2">
      <c r="A32" s="2" t="s">
        <v>27</v>
      </c>
      <c r="B32" t="s">
        <v>0</v>
      </c>
      <c r="C32" t="s">
        <v>1</v>
      </c>
      <c r="D32" t="s">
        <v>10</v>
      </c>
      <c r="E32" t="s">
        <v>11</v>
      </c>
      <c r="F32" t="s">
        <v>12</v>
      </c>
      <c r="G32" t="s">
        <v>14</v>
      </c>
      <c r="J32" s="2" t="s">
        <v>27</v>
      </c>
      <c r="K32" t="s">
        <v>0</v>
      </c>
      <c r="L32" t="s">
        <v>1</v>
      </c>
      <c r="M32" t="s">
        <v>10</v>
      </c>
      <c r="N32" t="s">
        <v>11</v>
      </c>
      <c r="O32" t="s">
        <v>12</v>
      </c>
      <c r="P32" t="s">
        <v>14</v>
      </c>
      <c r="T32" t="s">
        <v>0</v>
      </c>
      <c r="U32" t="s">
        <v>1</v>
      </c>
      <c r="V32" t="s">
        <v>10</v>
      </c>
      <c r="W32" t="s">
        <v>11</v>
      </c>
      <c r="X32" t="s">
        <v>12</v>
      </c>
      <c r="Y32" t="s">
        <v>14</v>
      </c>
    </row>
    <row r="33" spans="1:26" x14ac:dyDescent="0.2">
      <c r="A33" t="s">
        <v>1</v>
      </c>
      <c r="B33">
        <v>15.3</v>
      </c>
      <c r="C33">
        <v>21.3</v>
      </c>
      <c r="D33">
        <v>17.899999999999999</v>
      </c>
      <c r="E33">
        <v>17.100000000000001</v>
      </c>
      <c r="F33">
        <v>20.7</v>
      </c>
      <c r="G33">
        <v>20.2</v>
      </c>
      <c r="J33" t="s">
        <v>1</v>
      </c>
      <c r="K33">
        <v>27.8</v>
      </c>
      <c r="L33">
        <v>35.1</v>
      </c>
      <c r="M33">
        <v>33.5</v>
      </c>
      <c r="N33">
        <v>34.5</v>
      </c>
      <c r="O33">
        <v>34.299999999999997</v>
      </c>
      <c r="P33">
        <v>33.200000000000003</v>
      </c>
      <c r="S33" t="s">
        <v>1</v>
      </c>
      <c r="T33">
        <v>14.7</v>
      </c>
      <c r="U33">
        <v>20.2</v>
      </c>
      <c r="V33">
        <v>5.6</v>
      </c>
      <c r="W33">
        <v>9</v>
      </c>
      <c r="X33">
        <v>6.9</v>
      </c>
      <c r="Y33">
        <v>19.100000000000001</v>
      </c>
    </row>
    <row r="34" spans="1:26" x14ac:dyDescent="0.2">
      <c r="A34" t="s">
        <v>10</v>
      </c>
      <c r="B34">
        <v>2.2999999999999998</v>
      </c>
      <c r="C34">
        <v>14.3</v>
      </c>
      <c r="D34">
        <v>15.6</v>
      </c>
      <c r="E34">
        <v>14.5</v>
      </c>
      <c r="F34">
        <v>15.2</v>
      </c>
      <c r="G34">
        <v>16.600000000000001</v>
      </c>
      <c r="J34" t="s">
        <v>10</v>
      </c>
      <c r="K34">
        <v>24.8</v>
      </c>
      <c r="L34">
        <v>29.6</v>
      </c>
      <c r="M34">
        <v>30.7</v>
      </c>
      <c r="N34">
        <v>30.6</v>
      </c>
      <c r="O34">
        <v>30.9</v>
      </c>
      <c r="P34">
        <v>31</v>
      </c>
      <c r="S34" t="s">
        <v>10</v>
      </c>
      <c r="T34">
        <v>12.7</v>
      </c>
      <c r="U34">
        <v>11.9</v>
      </c>
      <c r="V34">
        <v>2.8</v>
      </c>
      <c r="W34">
        <v>4.0999999999999996</v>
      </c>
      <c r="X34">
        <v>4.7</v>
      </c>
      <c r="Y34">
        <v>13.7</v>
      </c>
    </row>
    <row r="35" spans="1:26" x14ac:dyDescent="0.2">
      <c r="A35" t="s">
        <v>11</v>
      </c>
      <c r="B35">
        <v>2.9</v>
      </c>
      <c r="C35">
        <v>18.399999999999999</v>
      </c>
      <c r="D35">
        <v>15.2</v>
      </c>
      <c r="E35">
        <v>16.5</v>
      </c>
      <c r="F35">
        <v>17.600000000000001</v>
      </c>
      <c r="G35">
        <v>18.5</v>
      </c>
      <c r="J35" t="s">
        <v>11</v>
      </c>
      <c r="K35">
        <v>23.4</v>
      </c>
      <c r="L35">
        <v>30.9</v>
      </c>
      <c r="M35">
        <v>29.6</v>
      </c>
      <c r="N35">
        <v>30.9</v>
      </c>
      <c r="O35">
        <v>31.9</v>
      </c>
      <c r="P35">
        <v>30.9</v>
      </c>
      <c r="S35" t="s">
        <v>11</v>
      </c>
      <c r="T35">
        <v>12.2</v>
      </c>
      <c r="U35">
        <v>16.5</v>
      </c>
      <c r="V35">
        <v>5.6</v>
      </c>
      <c r="W35">
        <v>6.1</v>
      </c>
      <c r="X35">
        <v>5.0999999999999996</v>
      </c>
      <c r="Y35">
        <v>15.3</v>
      </c>
    </row>
    <row r="36" spans="1:26" x14ac:dyDescent="0.2">
      <c r="A36" t="s">
        <v>12</v>
      </c>
      <c r="B36">
        <v>3.4</v>
      </c>
      <c r="C36">
        <v>18.899999999999999</v>
      </c>
      <c r="D36">
        <v>16.600000000000001</v>
      </c>
      <c r="E36">
        <v>16.8</v>
      </c>
      <c r="F36">
        <v>20</v>
      </c>
      <c r="G36">
        <v>19.2</v>
      </c>
      <c r="J36" t="s">
        <v>12</v>
      </c>
      <c r="K36">
        <v>26.3</v>
      </c>
      <c r="L36">
        <v>31.7</v>
      </c>
      <c r="M36">
        <v>31.3</v>
      </c>
      <c r="N36">
        <v>30.6</v>
      </c>
      <c r="O36">
        <v>31.9</v>
      </c>
      <c r="P36">
        <v>31.5</v>
      </c>
      <c r="S36" t="s">
        <v>12</v>
      </c>
      <c r="T36">
        <v>12.6</v>
      </c>
      <c r="U36">
        <v>16.3</v>
      </c>
      <c r="V36">
        <v>4.3</v>
      </c>
      <c r="W36">
        <v>4.3</v>
      </c>
      <c r="X36">
        <v>5.8</v>
      </c>
      <c r="Y36">
        <v>15.1</v>
      </c>
    </row>
    <row r="37" spans="1:26" x14ac:dyDescent="0.2">
      <c r="A37" t="s">
        <v>14</v>
      </c>
      <c r="B37">
        <v>3</v>
      </c>
      <c r="C37">
        <v>17.899999999999999</v>
      </c>
      <c r="D37">
        <v>14.5</v>
      </c>
      <c r="E37">
        <v>15</v>
      </c>
      <c r="F37">
        <v>17.5</v>
      </c>
      <c r="G37">
        <v>17.7</v>
      </c>
      <c r="J37" t="s">
        <v>14</v>
      </c>
      <c r="K37">
        <v>24.5</v>
      </c>
      <c r="L37">
        <v>30.2</v>
      </c>
      <c r="M37">
        <v>31.1</v>
      </c>
      <c r="N37">
        <v>30.6</v>
      </c>
      <c r="O37">
        <v>30</v>
      </c>
      <c r="P37">
        <v>30.6</v>
      </c>
      <c r="S37" t="s">
        <v>14</v>
      </c>
      <c r="T37">
        <v>12.4</v>
      </c>
      <c r="U37">
        <v>15.3</v>
      </c>
      <c r="V37">
        <v>3.5</v>
      </c>
      <c r="W37">
        <v>2.8</v>
      </c>
      <c r="X37">
        <v>4.2</v>
      </c>
      <c r="Y37">
        <v>14.9</v>
      </c>
    </row>
    <row r="38" spans="1:26" x14ac:dyDescent="0.2">
      <c r="A38" t="s">
        <v>26</v>
      </c>
      <c r="J38" t="s">
        <v>26</v>
      </c>
    </row>
    <row r="39" spans="1:26" x14ac:dyDescent="0.2">
      <c r="A39" t="s">
        <v>10</v>
      </c>
      <c r="B39">
        <f t="shared" ref="B39:G39" si="0">1-B34/B33</f>
        <v>0.84967320261437906</v>
      </c>
      <c r="C39">
        <f t="shared" si="0"/>
        <v>0.32863849765258213</v>
      </c>
      <c r="D39">
        <f t="shared" si="0"/>
        <v>0.12849162011173176</v>
      </c>
      <c r="E39">
        <f t="shared" si="0"/>
        <v>0.1520467836257311</v>
      </c>
      <c r="F39">
        <f t="shared" si="0"/>
        <v>0.2657004830917874</v>
      </c>
      <c r="G39">
        <f t="shared" si="0"/>
        <v>0.17821782178217815</v>
      </c>
      <c r="J39" t="s">
        <v>10</v>
      </c>
      <c r="K39">
        <f t="shared" ref="K39:P39" si="1">1-K34/K33</f>
        <v>0.1079136690647482</v>
      </c>
      <c r="L39">
        <f t="shared" si="1"/>
        <v>0.15669515669515666</v>
      </c>
      <c r="M39">
        <f t="shared" si="1"/>
        <v>8.3582089552238781E-2</v>
      </c>
      <c r="N39">
        <f t="shared" si="1"/>
        <v>0.11304347826086958</v>
      </c>
      <c r="O39">
        <f t="shared" si="1"/>
        <v>9.9125364431486895E-2</v>
      </c>
      <c r="P39">
        <f t="shared" si="1"/>
        <v>6.6265060240963902E-2</v>
      </c>
      <c r="T39">
        <f t="shared" ref="T39:Y39" si="2">1-T34/T33</f>
        <v>0.13605442176870752</v>
      </c>
      <c r="U39">
        <f t="shared" si="2"/>
        <v>0.41089108910891081</v>
      </c>
      <c r="V39">
        <f t="shared" si="2"/>
        <v>0.5</v>
      </c>
      <c r="W39">
        <f t="shared" si="2"/>
        <v>0.54444444444444451</v>
      </c>
      <c r="X39">
        <f t="shared" si="2"/>
        <v>0.3188405797101449</v>
      </c>
      <c r="Y39">
        <f t="shared" si="2"/>
        <v>0.28272251308900531</v>
      </c>
    </row>
    <row r="40" spans="1:26" x14ac:dyDescent="0.2">
      <c r="A40" t="s">
        <v>11</v>
      </c>
      <c r="B40">
        <f t="shared" ref="B40:G40" si="3">1-B35/B33</f>
        <v>0.81045751633986929</v>
      </c>
      <c r="C40">
        <f t="shared" si="3"/>
        <v>0.13615023474178412</v>
      </c>
      <c r="D40">
        <f t="shared" si="3"/>
        <v>0.15083798882681565</v>
      </c>
      <c r="E40">
        <f t="shared" si="3"/>
        <v>3.5087719298245723E-2</v>
      </c>
      <c r="F40">
        <f t="shared" si="3"/>
        <v>0.14975845410628008</v>
      </c>
      <c r="G40">
        <f t="shared" si="3"/>
        <v>8.4158415841584122E-2</v>
      </c>
      <c r="J40" t="s">
        <v>11</v>
      </c>
      <c r="K40">
        <f t="shared" ref="K40:P40" si="4">1-K35/K33</f>
        <v>0.15827338129496415</v>
      </c>
      <c r="L40">
        <f t="shared" si="4"/>
        <v>0.11965811965811979</v>
      </c>
      <c r="M40">
        <f t="shared" si="4"/>
        <v>0.11641791044776117</v>
      </c>
      <c r="N40">
        <f t="shared" si="4"/>
        <v>0.10434782608695659</v>
      </c>
      <c r="O40">
        <f t="shared" si="4"/>
        <v>6.9970845481049482E-2</v>
      </c>
      <c r="P40">
        <f t="shared" si="4"/>
        <v>6.9277108433735024E-2</v>
      </c>
      <c r="T40">
        <f t="shared" ref="T40:Y40" si="5">1-T35/T33</f>
        <v>0.17006802721088432</v>
      </c>
      <c r="U40">
        <f t="shared" si="5"/>
        <v>0.18316831683168311</v>
      </c>
      <c r="V40">
        <f t="shared" si="5"/>
        <v>0</v>
      </c>
      <c r="W40">
        <f t="shared" si="5"/>
        <v>0.3222222222222223</v>
      </c>
      <c r="X40">
        <f t="shared" si="5"/>
        <v>0.26086956521739135</v>
      </c>
      <c r="Y40">
        <f t="shared" si="5"/>
        <v>0.19895287958115182</v>
      </c>
    </row>
    <row r="41" spans="1:26" x14ac:dyDescent="0.2">
      <c r="A41" t="s">
        <v>12</v>
      </c>
      <c r="B41">
        <f t="shared" ref="B41:G41" si="6">1-B36/B33</f>
        <v>0.77777777777777779</v>
      </c>
      <c r="C41">
        <f t="shared" si="6"/>
        <v>0.11267605633802824</v>
      </c>
      <c r="D41">
        <f t="shared" si="6"/>
        <v>7.2625698324022214E-2</v>
      </c>
      <c r="E41">
        <f t="shared" si="6"/>
        <v>1.7543859649122862E-2</v>
      </c>
      <c r="F41">
        <f t="shared" si="6"/>
        <v>3.3816425120772875E-2</v>
      </c>
      <c r="G41">
        <f t="shared" si="6"/>
        <v>4.9504950495049549E-2</v>
      </c>
      <c r="J41" t="s">
        <v>12</v>
      </c>
      <c r="K41">
        <f t="shared" ref="K41:P41" si="7">1-K36/K33</f>
        <v>5.3956834532374098E-2</v>
      </c>
      <c r="L41">
        <f t="shared" si="7"/>
        <v>9.6866096866096929E-2</v>
      </c>
      <c r="M41">
        <f t="shared" si="7"/>
        <v>6.5671641791044788E-2</v>
      </c>
      <c r="N41">
        <f t="shared" si="7"/>
        <v>0.11304347826086958</v>
      </c>
      <c r="O41">
        <f t="shared" si="7"/>
        <v>6.9970845481049482E-2</v>
      </c>
      <c r="P41">
        <f t="shared" si="7"/>
        <v>5.1204819277108515E-2</v>
      </c>
      <c r="T41">
        <f t="shared" ref="T41:Y41" si="8">1-T36/T33</f>
        <v>0.14285714285714279</v>
      </c>
      <c r="U41">
        <f t="shared" si="8"/>
        <v>0.19306930693069302</v>
      </c>
      <c r="V41">
        <f t="shared" si="8"/>
        <v>0.2321428571428571</v>
      </c>
      <c r="W41">
        <f t="shared" si="8"/>
        <v>0.52222222222222225</v>
      </c>
      <c r="X41">
        <f t="shared" si="8"/>
        <v>0.15942028985507251</v>
      </c>
      <c r="Y41">
        <f t="shared" si="8"/>
        <v>0.20942408376963362</v>
      </c>
    </row>
    <row r="42" spans="1:26" x14ac:dyDescent="0.2">
      <c r="A42" t="s">
        <v>14</v>
      </c>
      <c r="B42">
        <f t="shared" ref="B42:G42" si="9">1-B37/B33</f>
        <v>0.80392156862745101</v>
      </c>
      <c r="C42">
        <f t="shared" si="9"/>
        <v>0.15962441314553999</v>
      </c>
      <c r="D42">
        <f t="shared" si="9"/>
        <v>0.1899441340782122</v>
      </c>
      <c r="E42">
        <f t="shared" si="9"/>
        <v>0.1228070175438597</v>
      </c>
      <c r="F42">
        <f t="shared" si="9"/>
        <v>0.15458937198067635</v>
      </c>
      <c r="G42">
        <f t="shared" si="9"/>
        <v>0.12376237623762376</v>
      </c>
      <c r="J42" t="s">
        <v>14</v>
      </c>
      <c r="K42">
        <f t="shared" ref="K42:P42" si="10">1-K37/K33</f>
        <v>0.11870503597122306</v>
      </c>
      <c r="L42">
        <f t="shared" si="10"/>
        <v>0.13960113960113962</v>
      </c>
      <c r="M42">
        <f t="shared" si="10"/>
        <v>7.1641791044776082E-2</v>
      </c>
      <c r="N42">
        <f t="shared" si="10"/>
        <v>0.11304347826086958</v>
      </c>
      <c r="O42">
        <f t="shared" si="10"/>
        <v>0.12536443148688037</v>
      </c>
      <c r="P42">
        <f t="shared" si="10"/>
        <v>7.8313253012048278E-2</v>
      </c>
      <c r="T42">
        <f t="shared" ref="T42:Y42" si="11">1-T37/T33</f>
        <v>0.15646258503401356</v>
      </c>
      <c r="U42">
        <f t="shared" si="11"/>
        <v>0.24257425742574257</v>
      </c>
      <c r="V42">
        <f t="shared" si="11"/>
        <v>0.375</v>
      </c>
      <c r="W42">
        <f t="shared" si="11"/>
        <v>0.68888888888888888</v>
      </c>
      <c r="X42">
        <f t="shared" si="11"/>
        <v>0.39130434782608692</v>
      </c>
      <c r="Y42">
        <f t="shared" si="11"/>
        <v>0.21989528795811519</v>
      </c>
    </row>
    <row r="45" spans="1:26" x14ac:dyDescent="0.2">
      <c r="A45" s="2" t="s">
        <v>27</v>
      </c>
      <c r="B45" t="s">
        <v>15</v>
      </c>
      <c r="C45" t="s">
        <v>16</v>
      </c>
      <c r="D45" t="s">
        <v>17</v>
      </c>
      <c r="E45" t="s">
        <v>18</v>
      </c>
      <c r="F45" t="s">
        <v>19</v>
      </c>
      <c r="G45" t="s">
        <v>20</v>
      </c>
      <c r="H45" t="s">
        <v>21</v>
      </c>
      <c r="J45" s="2" t="s">
        <v>27</v>
      </c>
      <c r="K45" t="s">
        <v>15</v>
      </c>
      <c r="L45" t="s">
        <v>16</v>
      </c>
      <c r="M45" t="s">
        <v>17</v>
      </c>
      <c r="N45" t="s">
        <v>18</v>
      </c>
      <c r="O45" t="s">
        <v>19</v>
      </c>
      <c r="P45" t="s">
        <v>20</v>
      </c>
      <c r="Q45" t="s">
        <v>21</v>
      </c>
      <c r="T45" t="s">
        <v>15</v>
      </c>
      <c r="U45" t="s">
        <v>16</v>
      </c>
      <c r="V45" t="s">
        <v>17</v>
      </c>
      <c r="W45" t="s">
        <v>18</v>
      </c>
      <c r="X45" t="s">
        <v>19</v>
      </c>
      <c r="Y45" t="s">
        <v>20</v>
      </c>
      <c r="Z45" t="s">
        <v>21</v>
      </c>
    </row>
    <row r="46" spans="1:26" x14ac:dyDescent="0.2">
      <c r="A46" t="s">
        <v>1</v>
      </c>
      <c r="B46">
        <v>21.3</v>
      </c>
      <c r="C46">
        <v>18.5</v>
      </c>
      <c r="D46">
        <v>20.5</v>
      </c>
      <c r="E46">
        <v>19.2</v>
      </c>
      <c r="F46">
        <v>21.8</v>
      </c>
      <c r="G46">
        <v>19.2</v>
      </c>
      <c r="H46">
        <v>20.2</v>
      </c>
      <c r="J46" t="s">
        <v>1</v>
      </c>
      <c r="K46">
        <v>35.1</v>
      </c>
      <c r="L46">
        <v>34.6</v>
      </c>
      <c r="M46">
        <v>33.4</v>
      </c>
      <c r="N46">
        <v>33.9</v>
      </c>
      <c r="O46">
        <v>34.700000000000003</v>
      </c>
      <c r="P46">
        <v>34.6</v>
      </c>
      <c r="Q46">
        <v>33.200000000000003</v>
      </c>
      <c r="S46" t="s">
        <v>1</v>
      </c>
      <c r="T46">
        <v>20.2</v>
      </c>
      <c r="U46">
        <v>7.7</v>
      </c>
      <c r="V46">
        <v>8.8000000000000007</v>
      </c>
      <c r="W46">
        <v>8.8000000000000007</v>
      </c>
      <c r="X46">
        <v>6.4</v>
      </c>
      <c r="Y46">
        <v>5.4</v>
      </c>
      <c r="Z46">
        <v>19.100000000000001</v>
      </c>
    </row>
    <row r="47" spans="1:26" x14ac:dyDescent="0.2">
      <c r="A47" t="s">
        <v>14</v>
      </c>
      <c r="B47">
        <v>17.899999999999999</v>
      </c>
      <c r="C47">
        <v>16.600000000000001</v>
      </c>
      <c r="D47">
        <v>17.399999999999999</v>
      </c>
      <c r="E47">
        <v>17.7</v>
      </c>
      <c r="F47">
        <v>18.3</v>
      </c>
      <c r="G47">
        <v>14.6</v>
      </c>
      <c r="H47">
        <v>17.7</v>
      </c>
      <c r="J47" t="s">
        <v>14</v>
      </c>
      <c r="K47">
        <v>30.2</v>
      </c>
      <c r="L47">
        <v>31.7</v>
      </c>
      <c r="M47">
        <v>29</v>
      </c>
      <c r="N47">
        <v>31.3</v>
      </c>
      <c r="O47">
        <v>31.5</v>
      </c>
      <c r="P47">
        <v>31.2</v>
      </c>
      <c r="Q47">
        <v>30.6</v>
      </c>
      <c r="S47" t="s">
        <v>14</v>
      </c>
      <c r="T47">
        <v>15.3</v>
      </c>
      <c r="U47">
        <v>6.2</v>
      </c>
      <c r="V47">
        <v>6.9</v>
      </c>
      <c r="W47">
        <v>6.3</v>
      </c>
      <c r="X47">
        <v>4.5</v>
      </c>
      <c r="Y47">
        <v>4.2</v>
      </c>
      <c r="Z47">
        <v>14.9</v>
      </c>
    </row>
    <row r="48" spans="1:26" x14ac:dyDescent="0.2">
      <c r="A48" t="s">
        <v>28</v>
      </c>
      <c r="B48">
        <f>B46-B47</f>
        <v>3.4000000000000021</v>
      </c>
      <c r="C48">
        <f t="shared" ref="C48:H48" si="12">C46-C47</f>
        <v>1.8999999999999986</v>
      </c>
      <c r="D48">
        <f t="shared" si="12"/>
        <v>3.1000000000000014</v>
      </c>
      <c r="E48">
        <f t="shared" si="12"/>
        <v>1.5</v>
      </c>
      <c r="F48">
        <f t="shared" si="12"/>
        <v>3.5</v>
      </c>
      <c r="G48">
        <f t="shared" si="12"/>
        <v>4.5999999999999996</v>
      </c>
      <c r="H48">
        <f t="shared" si="12"/>
        <v>2.5</v>
      </c>
      <c r="J48" t="s">
        <v>28</v>
      </c>
      <c r="K48">
        <f t="shared" ref="K48:Q48" si="13">K46-K47</f>
        <v>4.9000000000000021</v>
      </c>
      <c r="L48">
        <f t="shared" si="13"/>
        <v>2.9000000000000021</v>
      </c>
      <c r="M48">
        <f t="shared" si="13"/>
        <v>4.3999999999999986</v>
      </c>
      <c r="N48">
        <f t="shared" si="13"/>
        <v>2.5999999999999979</v>
      </c>
      <c r="O48">
        <f t="shared" si="13"/>
        <v>3.2000000000000028</v>
      </c>
      <c r="P48">
        <f t="shared" si="13"/>
        <v>3.4000000000000021</v>
      </c>
      <c r="Q48">
        <f t="shared" si="13"/>
        <v>2.6000000000000014</v>
      </c>
      <c r="T48">
        <f t="shared" ref="T48:Z48" si="14">T46-T47</f>
        <v>4.8999999999999986</v>
      </c>
      <c r="U48">
        <f t="shared" si="14"/>
        <v>1.5</v>
      </c>
      <c r="V48">
        <f t="shared" si="14"/>
        <v>1.9000000000000004</v>
      </c>
      <c r="W48">
        <f t="shared" si="14"/>
        <v>2.5000000000000009</v>
      </c>
      <c r="X48">
        <f t="shared" si="14"/>
        <v>1.9000000000000004</v>
      </c>
      <c r="Y48">
        <f t="shared" si="14"/>
        <v>1.2000000000000002</v>
      </c>
      <c r="Z48">
        <f t="shared" si="14"/>
        <v>4.2000000000000011</v>
      </c>
    </row>
    <row r="50" spans="1:26" x14ac:dyDescent="0.2">
      <c r="A50" t="s">
        <v>1</v>
      </c>
      <c r="B50">
        <v>21.3</v>
      </c>
      <c r="C50">
        <v>18.7</v>
      </c>
      <c r="D50">
        <v>20.7</v>
      </c>
      <c r="E50">
        <v>20.7</v>
      </c>
      <c r="F50">
        <v>18.2</v>
      </c>
      <c r="G50">
        <v>19.2</v>
      </c>
      <c r="H50">
        <v>20.2</v>
      </c>
      <c r="J50" t="s">
        <v>1</v>
      </c>
      <c r="K50">
        <v>35.1</v>
      </c>
      <c r="L50">
        <v>34.200000000000003</v>
      </c>
      <c r="M50">
        <v>35</v>
      </c>
      <c r="N50">
        <v>35.6</v>
      </c>
      <c r="O50">
        <v>34</v>
      </c>
      <c r="P50">
        <v>34.9</v>
      </c>
      <c r="Q50">
        <v>33.200000000000003</v>
      </c>
      <c r="S50" t="s">
        <v>1</v>
      </c>
      <c r="T50">
        <v>20.2</v>
      </c>
      <c r="U50">
        <v>6</v>
      </c>
      <c r="V50">
        <v>6.1</v>
      </c>
      <c r="W50">
        <v>7.1</v>
      </c>
      <c r="X50">
        <v>5.4</v>
      </c>
      <c r="Y50">
        <v>6.7</v>
      </c>
      <c r="Z50">
        <v>19.100000000000001</v>
      </c>
    </row>
    <row r="51" spans="1:26" x14ac:dyDescent="0.2">
      <c r="A51" t="s">
        <v>14</v>
      </c>
      <c r="B51">
        <v>17.899999999999999</v>
      </c>
      <c r="C51">
        <v>16</v>
      </c>
      <c r="D51">
        <v>17.2</v>
      </c>
      <c r="E51">
        <v>16.899999999999999</v>
      </c>
      <c r="F51">
        <v>15</v>
      </c>
      <c r="G51">
        <v>18</v>
      </c>
      <c r="H51">
        <v>17.7</v>
      </c>
      <c r="J51" t="s">
        <v>14</v>
      </c>
      <c r="K51">
        <v>30.2</v>
      </c>
      <c r="L51">
        <v>32.200000000000003</v>
      </c>
      <c r="M51">
        <v>30.8</v>
      </c>
      <c r="N51">
        <v>33.4</v>
      </c>
      <c r="O51">
        <v>31.2</v>
      </c>
      <c r="P51">
        <v>31.6</v>
      </c>
      <c r="Q51">
        <v>30.6</v>
      </c>
      <c r="S51" t="s">
        <v>14</v>
      </c>
      <c r="T51">
        <v>15.3</v>
      </c>
      <c r="U51">
        <v>4.5</v>
      </c>
      <c r="V51">
        <v>6.9</v>
      </c>
      <c r="W51">
        <v>4.8</v>
      </c>
      <c r="X51">
        <v>6.3</v>
      </c>
      <c r="Y51">
        <v>4.9000000000000004</v>
      </c>
      <c r="Z51">
        <v>14.9</v>
      </c>
    </row>
    <row r="52" spans="1:26" x14ac:dyDescent="0.2">
      <c r="A52" t="s">
        <v>28</v>
      </c>
      <c r="B52">
        <f>B50-B51</f>
        <v>3.4000000000000021</v>
      </c>
      <c r="C52">
        <f t="shared" ref="C52:H52" si="15">C50-C51</f>
        <v>2.6999999999999993</v>
      </c>
      <c r="D52">
        <f t="shared" si="15"/>
        <v>3.5</v>
      </c>
      <c r="E52">
        <f t="shared" si="15"/>
        <v>3.8000000000000007</v>
      </c>
      <c r="F52">
        <f t="shared" si="15"/>
        <v>3.1999999999999993</v>
      </c>
      <c r="G52">
        <f t="shared" si="15"/>
        <v>1.1999999999999993</v>
      </c>
      <c r="H52">
        <f t="shared" si="15"/>
        <v>2.5</v>
      </c>
      <c r="J52" t="s">
        <v>28</v>
      </c>
      <c r="K52">
        <f t="shared" ref="K52:Q52" si="16">K50-K51</f>
        <v>4.9000000000000021</v>
      </c>
      <c r="L52">
        <f t="shared" si="16"/>
        <v>2</v>
      </c>
      <c r="M52">
        <f t="shared" si="16"/>
        <v>4.1999999999999993</v>
      </c>
      <c r="N52">
        <f t="shared" si="16"/>
        <v>2.2000000000000028</v>
      </c>
      <c r="O52">
        <f t="shared" si="16"/>
        <v>2.8000000000000007</v>
      </c>
      <c r="P52">
        <f t="shared" si="16"/>
        <v>3.2999999999999972</v>
      </c>
      <c r="Q52">
        <f t="shared" si="16"/>
        <v>2.6000000000000014</v>
      </c>
      <c r="T52">
        <f t="shared" ref="T52:Z52" si="17">T50-T51</f>
        <v>4.8999999999999986</v>
      </c>
      <c r="U52">
        <f t="shared" si="17"/>
        <v>1.5</v>
      </c>
      <c r="V52">
        <f t="shared" si="17"/>
        <v>-0.80000000000000071</v>
      </c>
      <c r="W52">
        <f t="shared" si="17"/>
        <v>2.2999999999999998</v>
      </c>
      <c r="X52">
        <f t="shared" si="17"/>
        <v>-0.89999999999999947</v>
      </c>
      <c r="Y52">
        <f t="shared" si="17"/>
        <v>1.7999999999999998</v>
      </c>
      <c r="Z52">
        <f t="shared" si="17"/>
        <v>4.2000000000000011</v>
      </c>
    </row>
    <row r="54" spans="1:26" x14ac:dyDescent="0.2">
      <c r="A54" t="s">
        <v>1</v>
      </c>
      <c r="B54">
        <v>21.3</v>
      </c>
      <c r="C54">
        <v>19.3</v>
      </c>
      <c r="D54">
        <v>19.100000000000001</v>
      </c>
      <c r="E54">
        <v>18.100000000000001</v>
      </c>
      <c r="F54">
        <v>21.3</v>
      </c>
      <c r="G54">
        <v>20.5</v>
      </c>
      <c r="H54">
        <v>20.2</v>
      </c>
      <c r="J54" t="s">
        <v>1</v>
      </c>
      <c r="K54">
        <v>35.1</v>
      </c>
      <c r="L54">
        <v>35.6</v>
      </c>
      <c r="M54">
        <v>35.200000000000003</v>
      </c>
      <c r="N54">
        <v>34.799999999999997</v>
      </c>
      <c r="O54">
        <v>36.6</v>
      </c>
      <c r="P54">
        <v>36.299999999999997</v>
      </c>
      <c r="Q54">
        <v>33.200000000000003</v>
      </c>
      <c r="S54" t="s">
        <v>1</v>
      </c>
      <c r="T54">
        <v>20.2</v>
      </c>
      <c r="U54">
        <v>8</v>
      </c>
      <c r="V54">
        <v>6.5</v>
      </c>
      <c r="W54">
        <v>10.6</v>
      </c>
      <c r="X54">
        <v>4.7</v>
      </c>
      <c r="Y54">
        <v>6.6</v>
      </c>
      <c r="Z54">
        <v>19.100000000000001</v>
      </c>
    </row>
    <row r="55" spans="1:26" x14ac:dyDescent="0.2">
      <c r="A55" t="s">
        <v>14</v>
      </c>
      <c r="B55">
        <v>17.899999999999999</v>
      </c>
      <c r="C55">
        <v>15.7</v>
      </c>
      <c r="D55">
        <v>16.399999999999999</v>
      </c>
      <c r="E55">
        <v>15.8</v>
      </c>
      <c r="F55">
        <v>18.5</v>
      </c>
      <c r="G55">
        <v>18</v>
      </c>
      <c r="H55">
        <v>17.7</v>
      </c>
      <c r="J55" t="s">
        <v>14</v>
      </c>
      <c r="K55">
        <v>30.2</v>
      </c>
      <c r="L55">
        <v>32.6</v>
      </c>
      <c r="M55">
        <v>33.299999999999997</v>
      </c>
      <c r="N55">
        <v>31.4</v>
      </c>
      <c r="O55">
        <v>32.700000000000003</v>
      </c>
      <c r="P55">
        <v>32.5</v>
      </c>
      <c r="Q55">
        <v>30.6</v>
      </c>
      <c r="S55" t="s">
        <v>14</v>
      </c>
      <c r="T55">
        <v>15.3</v>
      </c>
      <c r="U55">
        <v>7</v>
      </c>
      <c r="V55">
        <v>3.4</v>
      </c>
      <c r="W55">
        <v>6.7</v>
      </c>
      <c r="X55">
        <v>6</v>
      </c>
      <c r="Y55">
        <v>5.0999999999999996</v>
      </c>
      <c r="Z55">
        <v>14.9</v>
      </c>
    </row>
    <row r="56" spans="1:26" x14ac:dyDescent="0.2">
      <c r="B56">
        <f>B54-B55</f>
        <v>3.4000000000000021</v>
      </c>
      <c r="C56">
        <f t="shared" ref="C56:H56" si="18">C54-C55</f>
        <v>3.6000000000000014</v>
      </c>
      <c r="D56">
        <f t="shared" si="18"/>
        <v>2.7000000000000028</v>
      </c>
      <c r="E56">
        <f t="shared" si="18"/>
        <v>2.3000000000000007</v>
      </c>
      <c r="F56">
        <f t="shared" si="18"/>
        <v>2.8000000000000007</v>
      </c>
      <c r="G56">
        <f t="shared" si="18"/>
        <v>2.5</v>
      </c>
      <c r="H56">
        <f t="shared" si="18"/>
        <v>2.5</v>
      </c>
      <c r="K56">
        <f t="shared" ref="K56:Q56" si="19">K54-K55</f>
        <v>4.9000000000000021</v>
      </c>
      <c r="L56">
        <f t="shared" si="19"/>
        <v>3</v>
      </c>
      <c r="M56">
        <f t="shared" si="19"/>
        <v>1.9000000000000057</v>
      </c>
      <c r="N56">
        <f t="shared" si="19"/>
        <v>3.3999999999999986</v>
      </c>
      <c r="O56">
        <f t="shared" si="19"/>
        <v>3.8999999999999986</v>
      </c>
      <c r="P56">
        <f t="shared" si="19"/>
        <v>3.7999999999999972</v>
      </c>
      <c r="Q56">
        <f t="shared" si="19"/>
        <v>2.6000000000000014</v>
      </c>
      <c r="T56">
        <f t="shared" ref="T56:Z56" si="20">T54-T55</f>
        <v>4.8999999999999986</v>
      </c>
      <c r="U56">
        <f t="shared" si="20"/>
        <v>1</v>
      </c>
      <c r="V56">
        <f t="shared" si="20"/>
        <v>3.1</v>
      </c>
      <c r="W56">
        <f t="shared" si="20"/>
        <v>3.8999999999999995</v>
      </c>
      <c r="X56">
        <f t="shared" si="20"/>
        <v>-1.2999999999999998</v>
      </c>
      <c r="Y56">
        <f t="shared" si="20"/>
        <v>1.5</v>
      </c>
      <c r="Z56">
        <f t="shared" si="20"/>
        <v>4.2000000000000011</v>
      </c>
    </row>
    <row r="57" spans="1:26" x14ac:dyDescent="0.2">
      <c r="A57" s="2" t="s">
        <v>27</v>
      </c>
      <c r="J57" s="2" t="s">
        <v>27</v>
      </c>
    </row>
    <row r="58" spans="1:26" x14ac:dyDescent="0.2">
      <c r="A58" t="s">
        <v>29</v>
      </c>
      <c r="B58" s="1">
        <f>AVERAGE(B46,B50,B54)</f>
        <v>21.3</v>
      </c>
      <c r="C58" s="1">
        <f t="shared" ref="C58:H58" si="21">AVERAGE(C46,C50,C54)</f>
        <v>18.833333333333332</v>
      </c>
      <c r="D58" s="1">
        <f t="shared" si="21"/>
        <v>20.100000000000001</v>
      </c>
      <c r="E58" s="1">
        <f t="shared" si="21"/>
        <v>19.333333333333332</v>
      </c>
      <c r="F58" s="1">
        <f t="shared" si="21"/>
        <v>20.433333333333334</v>
      </c>
      <c r="G58" s="1">
        <f t="shared" si="21"/>
        <v>19.633333333333333</v>
      </c>
      <c r="H58" s="1">
        <f t="shared" si="21"/>
        <v>20.2</v>
      </c>
      <c r="J58" t="s">
        <v>29</v>
      </c>
      <c r="K58" s="1">
        <f>AVERAGE(K46,K50,K54)</f>
        <v>35.1</v>
      </c>
      <c r="L58" s="1">
        <f t="shared" ref="L58:Q58" si="22">AVERAGE(L46,L50,L54)</f>
        <v>34.800000000000004</v>
      </c>
      <c r="M58" s="1">
        <f t="shared" si="22"/>
        <v>34.533333333333339</v>
      </c>
      <c r="N58" s="1">
        <f t="shared" si="22"/>
        <v>34.766666666666666</v>
      </c>
      <c r="O58" s="1">
        <f t="shared" si="22"/>
        <v>35.1</v>
      </c>
      <c r="P58" s="1">
        <f t="shared" si="22"/>
        <v>35.266666666666666</v>
      </c>
      <c r="Q58" s="1">
        <f t="shared" si="22"/>
        <v>33.200000000000003</v>
      </c>
      <c r="R58" s="1"/>
      <c r="T58" s="1">
        <f>AVERAGE(T46,T50,T54)</f>
        <v>20.2</v>
      </c>
      <c r="U58" s="1">
        <f t="shared" ref="U58:Z58" si="23">AVERAGE(U46,U50,U54)</f>
        <v>7.2333333333333334</v>
      </c>
      <c r="V58" s="1">
        <f t="shared" si="23"/>
        <v>7.1333333333333329</v>
      </c>
      <c r="W58" s="1">
        <f t="shared" si="23"/>
        <v>8.8333333333333339</v>
      </c>
      <c r="X58" s="1">
        <f t="shared" si="23"/>
        <v>5.5</v>
      </c>
      <c r="Y58" s="1">
        <f t="shared" si="23"/>
        <v>6.2333333333333343</v>
      </c>
      <c r="Z58" s="1">
        <f t="shared" si="23"/>
        <v>19.100000000000001</v>
      </c>
    </row>
    <row r="59" spans="1:26" x14ac:dyDescent="0.2">
      <c r="A59" t="s">
        <v>30</v>
      </c>
      <c r="B59" s="1">
        <f>AVERAGE(B47,B51,B55)</f>
        <v>17.899999999999999</v>
      </c>
      <c r="C59" s="1">
        <f t="shared" ref="C59:H59" si="24">AVERAGE(C47,C51,C55)</f>
        <v>16.099999999999998</v>
      </c>
      <c r="D59" s="1">
        <f t="shared" si="24"/>
        <v>16.999999999999996</v>
      </c>
      <c r="E59" s="1">
        <f t="shared" si="24"/>
        <v>16.799999999999997</v>
      </c>
      <c r="F59" s="1">
        <f t="shared" si="24"/>
        <v>17.266666666666666</v>
      </c>
      <c r="G59" s="1">
        <f t="shared" si="24"/>
        <v>16.866666666666667</v>
      </c>
      <c r="H59" s="1">
        <f t="shared" si="24"/>
        <v>17.7</v>
      </c>
      <c r="J59" t="s">
        <v>30</v>
      </c>
      <c r="K59" s="1">
        <f>AVERAGE(K47,K51,K55)</f>
        <v>30.2</v>
      </c>
      <c r="L59" s="1">
        <f t="shared" ref="L59:Q59" si="25">AVERAGE(L47,L51,L55)</f>
        <v>32.166666666666664</v>
      </c>
      <c r="M59" s="1">
        <f t="shared" si="25"/>
        <v>31.033333333333331</v>
      </c>
      <c r="N59" s="1">
        <f t="shared" si="25"/>
        <v>32.033333333333331</v>
      </c>
      <c r="O59" s="1">
        <f t="shared" si="25"/>
        <v>31.8</v>
      </c>
      <c r="P59" s="1">
        <f t="shared" si="25"/>
        <v>31.766666666666666</v>
      </c>
      <c r="Q59" s="1">
        <f t="shared" si="25"/>
        <v>30.600000000000005</v>
      </c>
      <c r="R59" s="1"/>
      <c r="T59" s="1">
        <f>AVERAGE(T47,T51,T55)</f>
        <v>15.300000000000002</v>
      </c>
      <c r="U59" s="1">
        <f t="shared" ref="U59:Z59" si="26">AVERAGE(U47,U51,U55)</f>
        <v>5.8999999999999995</v>
      </c>
      <c r="V59" s="1">
        <f t="shared" si="26"/>
        <v>5.7333333333333334</v>
      </c>
      <c r="W59" s="1">
        <f t="shared" si="26"/>
        <v>5.9333333333333336</v>
      </c>
      <c r="X59" s="1">
        <f t="shared" si="26"/>
        <v>5.6000000000000005</v>
      </c>
      <c r="Y59" s="1">
        <f t="shared" si="26"/>
        <v>4.7333333333333334</v>
      </c>
      <c r="Z59" s="1">
        <f t="shared" si="26"/>
        <v>14.9</v>
      </c>
    </row>
    <row r="60" spans="1:26" x14ac:dyDescent="0.2">
      <c r="A60" t="s">
        <v>31</v>
      </c>
      <c r="B60" s="1">
        <f>B58-B59</f>
        <v>3.4000000000000021</v>
      </c>
      <c r="C60" s="1">
        <f t="shared" ref="C60:H60" si="27">C58-C59</f>
        <v>2.7333333333333343</v>
      </c>
      <c r="D60" s="1">
        <f t="shared" si="27"/>
        <v>3.100000000000005</v>
      </c>
      <c r="E60" s="1">
        <f t="shared" si="27"/>
        <v>2.533333333333335</v>
      </c>
      <c r="F60" s="1">
        <f t="shared" si="27"/>
        <v>3.1666666666666679</v>
      </c>
      <c r="G60" s="1">
        <f t="shared" si="27"/>
        <v>2.7666666666666657</v>
      </c>
      <c r="H60" s="1">
        <f t="shared" si="27"/>
        <v>2.5</v>
      </c>
      <c r="J60" t="s">
        <v>31</v>
      </c>
      <c r="K60" s="1">
        <f t="shared" ref="K60:Q60" si="28">K58-K59</f>
        <v>4.9000000000000021</v>
      </c>
      <c r="L60" s="1">
        <f t="shared" si="28"/>
        <v>2.63333333333334</v>
      </c>
      <c r="M60" s="1">
        <f t="shared" si="28"/>
        <v>3.5000000000000071</v>
      </c>
      <c r="N60" s="1">
        <f t="shared" si="28"/>
        <v>2.7333333333333343</v>
      </c>
      <c r="O60" s="1">
        <f t="shared" si="28"/>
        <v>3.3000000000000007</v>
      </c>
      <c r="P60" s="1">
        <f t="shared" si="28"/>
        <v>3.5</v>
      </c>
      <c r="Q60" s="1">
        <f t="shared" si="28"/>
        <v>2.5999999999999979</v>
      </c>
      <c r="R60" s="1"/>
      <c r="T60" s="1">
        <f t="shared" ref="T60:Z60" si="29">T58-T59</f>
        <v>4.8999999999999968</v>
      </c>
      <c r="U60" s="1">
        <f t="shared" si="29"/>
        <v>1.3333333333333339</v>
      </c>
      <c r="V60" s="1">
        <f t="shared" si="29"/>
        <v>1.3999999999999995</v>
      </c>
      <c r="W60" s="1">
        <f t="shared" si="29"/>
        <v>2.9000000000000004</v>
      </c>
      <c r="X60" s="1">
        <f t="shared" si="29"/>
        <v>-0.10000000000000053</v>
      </c>
      <c r="Y60" s="1">
        <f t="shared" si="29"/>
        <v>1.5000000000000009</v>
      </c>
      <c r="Z60" s="1">
        <f t="shared" si="29"/>
        <v>4.2000000000000011</v>
      </c>
    </row>
    <row r="61" spans="1:26" x14ac:dyDescent="0.2">
      <c r="A61" t="s">
        <v>26</v>
      </c>
      <c r="B61" s="1"/>
      <c r="C61" s="1"/>
      <c r="D61" s="1"/>
      <c r="E61" s="1"/>
      <c r="F61" s="1"/>
      <c r="G61" s="1"/>
      <c r="H61" s="1"/>
      <c r="J61" t="s">
        <v>26</v>
      </c>
      <c r="K61" s="1"/>
      <c r="L61" s="1"/>
      <c r="M61" s="1"/>
      <c r="N61" s="1"/>
      <c r="O61" s="1"/>
      <c r="P61" s="1"/>
      <c r="Q61" s="1"/>
      <c r="R61" s="1"/>
      <c r="T61" s="1"/>
      <c r="U61" s="1"/>
      <c r="V61" s="1"/>
      <c r="W61" s="1"/>
      <c r="X61" s="1"/>
      <c r="Y61" s="1"/>
      <c r="Z61" s="1"/>
    </row>
    <row r="62" spans="1:26" x14ac:dyDescent="0.2">
      <c r="A62" t="s">
        <v>14</v>
      </c>
      <c r="B62">
        <f>1-B59/B58</f>
        <v>0.15962441314553999</v>
      </c>
      <c r="C62">
        <f t="shared" ref="C62:H62" si="30">1-C59/C58</f>
        <v>0.14513274336283188</v>
      </c>
      <c r="D62">
        <f t="shared" si="30"/>
        <v>0.15422885572139322</v>
      </c>
      <c r="E62">
        <f t="shared" si="30"/>
        <v>0.13103448275862073</v>
      </c>
      <c r="F62">
        <f t="shared" si="30"/>
        <v>0.15497553017944543</v>
      </c>
      <c r="G62">
        <f t="shared" si="30"/>
        <v>0.14091680814940577</v>
      </c>
      <c r="H62">
        <f t="shared" si="30"/>
        <v>0.12376237623762376</v>
      </c>
      <c r="J62" t="s">
        <v>14</v>
      </c>
      <c r="K62">
        <f>1-K59/K58</f>
        <v>0.13960113960113962</v>
      </c>
      <c r="L62">
        <f t="shared" ref="L62:Q62" si="31">1-L59/L58</f>
        <v>7.5670498084291382E-2</v>
      </c>
      <c r="M62">
        <f t="shared" si="31"/>
        <v>0.10135135135135154</v>
      </c>
      <c r="N62">
        <f t="shared" si="31"/>
        <v>7.8619367209971314E-2</v>
      </c>
      <c r="O62">
        <f t="shared" si="31"/>
        <v>9.4017094017094016E-2</v>
      </c>
      <c r="P62">
        <f t="shared" si="31"/>
        <v>9.9243856332703162E-2</v>
      </c>
      <c r="Q62">
        <f t="shared" si="31"/>
        <v>7.8313253012048167E-2</v>
      </c>
      <c r="T62">
        <f>1-T59/T58</f>
        <v>0.24257425742574246</v>
      </c>
      <c r="U62">
        <f t="shared" ref="U62:Z62" si="32">1-U59/U58</f>
        <v>0.18433179723502313</v>
      </c>
      <c r="V62">
        <f t="shared" si="32"/>
        <v>0.19626168224299056</v>
      </c>
      <c r="W62">
        <f t="shared" si="32"/>
        <v>0.32830188679245287</v>
      </c>
      <c r="X62">
        <f t="shared" si="32"/>
        <v>-1.8181818181818299E-2</v>
      </c>
      <c r="Y62">
        <f t="shared" si="32"/>
        <v>0.2406417112299466</v>
      </c>
      <c r="Z62">
        <f t="shared" si="32"/>
        <v>0.21989528795811519</v>
      </c>
    </row>
    <row r="64" spans="1:26" x14ac:dyDescent="0.2">
      <c r="A64" s="2" t="s">
        <v>27</v>
      </c>
      <c r="B64" t="s">
        <v>22</v>
      </c>
      <c r="C64" t="s">
        <v>23</v>
      </c>
      <c r="D64" t="s">
        <v>1</v>
      </c>
      <c r="E64" t="s">
        <v>24</v>
      </c>
      <c r="F64" t="s">
        <v>25</v>
      </c>
      <c r="J64" s="2" t="s">
        <v>27</v>
      </c>
      <c r="K64" t="s">
        <v>22</v>
      </c>
      <c r="L64" t="s">
        <v>23</v>
      </c>
      <c r="M64" t="s">
        <v>1</v>
      </c>
      <c r="N64" t="s">
        <v>24</v>
      </c>
      <c r="O64" t="s">
        <v>25</v>
      </c>
      <c r="T64" t="s">
        <v>22</v>
      </c>
      <c r="U64" t="s">
        <v>23</v>
      </c>
      <c r="V64" t="s">
        <v>1</v>
      </c>
      <c r="W64" t="s">
        <v>24</v>
      </c>
      <c r="X64" t="s">
        <v>25</v>
      </c>
    </row>
    <row r="65" spans="1:24" x14ac:dyDescent="0.2">
      <c r="A65" t="s">
        <v>1</v>
      </c>
      <c r="B65">
        <v>16.7</v>
      </c>
      <c r="C65">
        <v>17.7</v>
      </c>
      <c r="D65">
        <v>20.2</v>
      </c>
      <c r="E65">
        <v>21.5</v>
      </c>
      <c r="F65">
        <v>20.5</v>
      </c>
      <c r="J65" t="s">
        <v>1</v>
      </c>
      <c r="K65">
        <v>31.4</v>
      </c>
      <c r="L65">
        <v>27.6</v>
      </c>
      <c r="M65">
        <v>33.200000000000003</v>
      </c>
      <c r="N65">
        <v>35.6</v>
      </c>
      <c r="O65">
        <v>37.299999999999997</v>
      </c>
      <c r="S65" t="s">
        <v>1</v>
      </c>
      <c r="T65">
        <v>1.8</v>
      </c>
      <c r="U65">
        <v>0.6</v>
      </c>
      <c r="V65">
        <v>19.100000000000001</v>
      </c>
      <c r="W65">
        <v>3.6</v>
      </c>
      <c r="X65">
        <v>11.8</v>
      </c>
    </row>
    <row r="66" spans="1:24" x14ac:dyDescent="0.2">
      <c r="A66" t="s">
        <v>14</v>
      </c>
      <c r="B66">
        <v>13.2</v>
      </c>
      <c r="C66">
        <v>15.5</v>
      </c>
      <c r="D66">
        <v>17.7</v>
      </c>
      <c r="E66">
        <v>19.899999999999999</v>
      </c>
      <c r="F66">
        <v>17.399999999999999</v>
      </c>
      <c r="J66" t="s">
        <v>14</v>
      </c>
      <c r="K66">
        <v>27.9</v>
      </c>
      <c r="L66">
        <v>25.1</v>
      </c>
      <c r="M66">
        <v>30.6</v>
      </c>
      <c r="N66">
        <v>33.1</v>
      </c>
      <c r="O66">
        <v>32.6</v>
      </c>
      <c r="S66" t="s">
        <v>14</v>
      </c>
      <c r="T66">
        <v>1.4</v>
      </c>
      <c r="U66">
        <v>0.7</v>
      </c>
      <c r="V66">
        <v>14.9</v>
      </c>
      <c r="W66">
        <v>1.4</v>
      </c>
      <c r="X66">
        <v>9.1</v>
      </c>
    </row>
    <row r="67" spans="1:24" x14ac:dyDescent="0.2">
      <c r="A67" t="s">
        <v>26</v>
      </c>
      <c r="J67" t="s">
        <v>26</v>
      </c>
    </row>
    <row r="68" spans="1:24" x14ac:dyDescent="0.2">
      <c r="A68" t="s">
        <v>14</v>
      </c>
      <c r="B68">
        <f>1-B66/B65</f>
        <v>0.20958083832335328</v>
      </c>
      <c r="C68">
        <f>1-C66/C65</f>
        <v>0.12429378531073443</v>
      </c>
      <c r="D68">
        <f>1-D66/D65</f>
        <v>0.12376237623762376</v>
      </c>
      <c r="E68">
        <f>1-E66/E65</f>
        <v>7.4418604651162901E-2</v>
      </c>
      <c r="F68">
        <f>1-F66/F65</f>
        <v>0.15121951219512197</v>
      </c>
      <c r="J68" t="s">
        <v>14</v>
      </c>
      <c r="K68">
        <f>1-K66/K65</f>
        <v>0.11146496815286622</v>
      </c>
      <c r="L68">
        <f>1-L66/L65</f>
        <v>9.0579710144927494E-2</v>
      </c>
      <c r="M68">
        <f>1-M66/M65</f>
        <v>7.8313253012048278E-2</v>
      </c>
      <c r="N68">
        <f>1-N66/N65</f>
        <v>7.02247191011236E-2</v>
      </c>
      <c r="O68">
        <f>1-O66/O65</f>
        <v>0.12600536193029477</v>
      </c>
      <c r="T68">
        <f>1-T66/T65</f>
        <v>0.22222222222222232</v>
      </c>
      <c r="U68">
        <f>1-U66/U65</f>
        <v>-0.16666666666666674</v>
      </c>
      <c r="V68">
        <f>1-V66/V65</f>
        <v>0.21989528795811519</v>
      </c>
      <c r="W68">
        <f>1-W66/W65</f>
        <v>0.61111111111111116</v>
      </c>
      <c r="X68">
        <f>1-X66/X65</f>
        <v>0.22881355932203395</v>
      </c>
    </row>
  </sheetData>
  <mergeCells count="3">
    <mergeCell ref="A1:H1"/>
    <mergeCell ref="J1:Q1"/>
    <mergeCell ref="S1:Z1"/>
  </mergeCells>
  <hyperlinks>
    <hyperlink ref="A2" r:id="rId1" xr:uid="{52D745C9-4BF7-734C-9600-BFF66B706689}"/>
    <hyperlink ref="A12" r:id="rId2" xr:uid="{EACDCBA3-8D04-0E42-AA61-EB763777D7AE}"/>
    <hyperlink ref="A22" r:id="rId3" xr:uid="{D1DA5FE0-0B45-3744-8799-5854CB84F483}"/>
    <hyperlink ref="A32" r:id="rId4" xr:uid="{977C592E-C0B4-4A4D-B1C0-ED718C7126DA}"/>
    <hyperlink ref="A57" r:id="rId5" xr:uid="{565ADCE6-A040-3E4E-A9E0-466CD5DFA315}"/>
    <hyperlink ref="A64" r:id="rId6" xr:uid="{A24D3AFF-B60A-B94F-9C72-4251ECD1D5AC}"/>
    <hyperlink ref="A45" r:id="rId7" xr:uid="{A6676B85-46BF-1F46-8073-B0F0667A6330}"/>
    <hyperlink ref="J2" r:id="rId8" xr:uid="{84168194-CB21-0F4E-9DF9-F8650886FE2C}"/>
    <hyperlink ref="J12" r:id="rId9" xr:uid="{BA28F244-DA17-C741-AD5B-99020B359C28}"/>
    <hyperlink ref="J22" r:id="rId10" xr:uid="{7589EFD3-982E-084D-83CE-4E502B1B2637}"/>
    <hyperlink ref="J32" r:id="rId11" xr:uid="{AE45B7D8-41F5-AB47-96B4-A7D1D1B745DB}"/>
    <hyperlink ref="J57" r:id="rId12" xr:uid="{0411D9A5-C07E-F142-8825-E2BDF1B26A2C}"/>
    <hyperlink ref="J64" r:id="rId13" xr:uid="{2F5F5CA3-0109-5646-ACFB-EA332B1E5265}"/>
    <hyperlink ref="J45" r:id="rId14" xr:uid="{58E8F468-5473-3E48-88E7-CB288E6519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YangLiu</dc:creator>
  <cp:lastModifiedBy>YangLiu</cp:lastModifiedBy>
  <dcterms:created xsi:type="dcterms:W3CDTF">2025-02-28T00:23:53Z</dcterms:created>
  <dcterms:modified xsi:type="dcterms:W3CDTF">2025-06-17T14:06:05Z</dcterms:modified>
</cp:coreProperties>
</file>